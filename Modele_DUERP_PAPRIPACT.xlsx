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ice" sheetId="1" state="visible" r:id="rId3"/>
    <sheet name="DUERP" sheetId="2" state="visible" r:id="rId4"/>
    <sheet name="PAPRIPACT" sheetId="3" state="visible" r:id="rId5"/>
    <sheet name="Listes" sheetId="4" state="visible" r:id="rId6"/>
  </sheets>
  <definedNames>
    <definedName function="false" hidden="true" localSheetId="1" name="_xlnm._FilterDatabase" vbProcedure="false">DUERP!$A$2:$R$202</definedName>
    <definedName function="false" hidden="true" localSheetId="2" name="_xlnm._FilterDatabase" vbProcedure="false">PAPRIPACT!$A$3:$L$93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<sst xmlns="http://schemas.openxmlformats.org/spreadsheetml/2006/main" count="182" uniqueCount="135">
  <si>
    <t xml:space="preserve">DUERP + PAPRIPACT — mode d'emploi</t>
  </si>
  <si>
    <t xml:space="preserve">Principe</t>
  </si>
  <si>
    <t xml:space="preserve">Onglet DUERP : vous évaluez les risques par unité de travail. Onglet PAPRIPACT : il se remplit automatiquement avec les risques prioritaires à programmer. Onglet Listes : menus déroulants et barèmes.</t>
  </si>
  <si>
    <t xml:space="preserve">Méthode de cotation</t>
  </si>
  <si>
    <t xml:space="preserve">Criticité BRUTE = Gravité × Fréquence.   Criticité RÉSIDUELLE = Gravité × Fréquence × Maîtrise.</t>
  </si>
  <si>
    <t xml:space="preserve">Choisissez Gravité, Fréquence et Maîtrise dans les menus déroulants : les criticités et les couleurs se calculent automatiquement.</t>
  </si>
  <si>
    <t xml:space="preserve">Échelle de Gravité (G)</t>
  </si>
  <si>
    <t xml:space="preserve">1 – Mineur</t>
  </si>
  <si>
    <t xml:space="preserve">Légères coupures et contusions, irritation des yeux, inconfort, maux de tête, brûlures, entorse. Pas d'ITT.</t>
  </si>
  <si>
    <t xml:space="preserve">2 – Significatif</t>
  </si>
  <si>
    <t xml:space="preserve">Déchirures, brûlures, commotions, fractures légères, surdités, dermatites, asthmes, TMS, incapacité mineure, ITT sans ITP.</t>
  </si>
  <si>
    <t xml:space="preserve">3 – Critique</t>
  </si>
  <si>
    <t xml:space="preserve">Amputations, fractures importantes, intoxications, blessures multiples, cancers ou maladies réduisant sévèrement l'espérance de vie, ITT et ITP.</t>
  </si>
  <si>
    <t xml:space="preserve">4 – Catastrophique</t>
  </si>
  <si>
    <t xml:space="preserve">Menace pour la vie d'une ou plusieurs personnes.</t>
  </si>
  <si>
    <t xml:space="preserve">Échelle de Fréquence (F)</t>
  </si>
  <si>
    <t xml:space="preserve">1 – Très rare (1×/an)</t>
  </si>
  <si>
    <t xml:space="preserve">2 – Rare (1×/mois)</t>
  </si>
  <si>
    <t xml:space="preserve">3 – Souvent (1×/semaine)</t>
  </si>
  <si>
    <t xml:space="preserve">4 – Quotidien (1×/jour)</t>
  </si>
  <si>
    <t xml:space="preserve">Niveau de Maîtrise (coefficient)</t>
  </si>
  <si>
    <t xml:space="preserve">0,1 – Très bonne</t>
  </si>
  <si>
    <t xml:space="preserve">Mesures d'ordre collectif ET individuel sur les plans technique, organisationnel et humain.</t>
  </si>
  <si>
    <t xml:space="preserve">0,5 – Bonne</t>
  </si>
  <si>
    <t xml:space="preserve">Les mesures de prévention essentielles existent, mais d'autres sont encore possibles.</t>
  </si>
  <si>
    <t xml:space="preserve">1 – À améliorer</t>
  </si>
  <si>
    <t xml:space="preserve">Quelques mesures de prévention existent mais sont à améliorer.</t>
  </si>
  <si>
    <t xml:space="preserve">1,5 – Néant</t>
  </si>
  <si>
    <t xml:space="preserve">Aucune mesure n'existe, ou il manque une mesure importante, ou les mesures sont inadaptées / non mises en œuvre.</t>
  </si>
  <si>
    <t xml:space="preserve">Code couleurs (criticité)</t>
  </si>
  <si>
    <t xml:space="preserve">   ≤ 4 — Faible</t>
  </si>
  <si>
    <t xml:space="preserve">   5 à 8 — Moyen</t>
  </si>
  <si>
    <t xml:space="preserve">   9 à 15 — Élevé (→ PAPRIPACT)</t>
  </si>
  <si>
    <t xml:space="preserve">   ≥ 16 — Critique (→ PAPRIPACT)</t>
  </si>
  <si>
    <t xml:space="preserve">Renvoi automatique vers le PAPRIPACT</t>
  </si>
  <si>
    <t xml:space="preserve">Toute ligne de criticité RÉSIDUELLE ≥ 9 est reportée automatiquement dans le PAPRIPACT, avec son action, son responsable et son échéance. Le coût estimé et les indicateurs de résultat se complètent dans le PAPRIPACT (ils ne figurent pas dans le DUERP).</t>
  </si>
  <si>
    <t xml:space="preserve">Tri &amp; filtres</t>
  </si>
  <si>
    <t xml:space="preserve">Chaque tableau possède des filtres (ligne d'en-tête) : triez par criticité, unité, état, famille de risque…</t>
  </si>
  <si>
    <t xml:space="preserve">Cadre réglementaire</t>
  </si>
  <si>
    <t xml:space="preserve">• DUERP obligatoire dès 1 salarié (art. L4121-3 et L4121-3-1) ; transcrit l'évaluation des risques et la traçabilité collective des expositions.</t>
  </si>
  <si>
    <t xml:space="preserve">• Mise à jour : au moins annuelle, à chaque aménagement important et à chaque information nouvelle ; conservation de chaque version ≥ 40 ans.</t>
  </si>
  <si>
    <t xml:space="preserve">• Le CSE (et la CSSCT) est consulté sur le DUERP et ses mises à jour.</t>
  </si>
  <si>
    <t xml:space="preserve">• PAPRIPACT obligatoire à partir de 50 salariés (art. L4121-3-1 et L2312-27) : liste des mesures, conditions d'exécution, indicateurs de résultat, estimation du coût, ressources et calendrier. En dessous de 50 salariés : une liste d'actions de prévention.</t>
  </si>
  <si>
    <t xml:space="preserve">Modèle fourni par Destination Prévention — à adapter à votre entreprise. Ne se substitue pas à un conseil personnalisé. Contact : mickael@destination-prevention.fr</t>
  </si>
  <si>
    <t xml:space="preserve">DUERP — Document Unique d'Évaluation des Risques Professionnels</t>
  </si>
  <si>
    <t xml:space="preserve">N°</t>
  </si>
  <si>
    <t xml:space="preserve">Unité de travail / lieu</t>
  </si>
  <si>
    <t xml:space="preserve">Famille de risque (INRS)</t>
  </si>
  <si>
    <t xml:space="preserve">Situation dangereuse / Danger</t>
  </si>
  <si>
    <t xml:space="preserve">Dommage potentiel</t>
  </si>
  <si>
    <t xml:space="preserve">Gravité (G)</t>
  </si>
  <si>
    <t xml:space="preserve">Fréquence (F)</t>
  </si>
  <si>
    <t xml:space="preserve">Criticité BRUTE (G×F)</t>
  </si>
  <si>
    <t xml:space="preserve">Niveau brut</t>
  </si>
  <si>
    <t xml:space="preserve">Mesures de prévention existantes</t>
  </si>
  <si>
    <t xml:space="preserve">Maîtrise</t>
  </si>
  <si>
    <t xml:space="preserve">Action de prévention / amélioration</t>
  </si>
  <si>
    <t xml:space="preserve">Criticité RÉSIDUELLE (G×F×M)</t>
  </si>
  <si>
    <t xml:space="preserve">Niveau résiduel</t>
  </si>
  <si>
    <t xml:space="preserve">Priorité PAPRIPACT</t>
  </si>
  <si>
    <t xml:space="preserve">Responsable</t>
  </si>
  <si>
    <t xml:space="preserve">Échéance</t>
  </si>
  <si>
    <t xml:space="preserve">État</t>
  </si>
  <si>
    <t xml:space="preserve">Atelier de production</t>
  </si>
  <si>
    <t xml:space="preserve">Activité physique / manutention manuelle</t>
  </si>
  <si>
    <t xml:space="preserve">Port répété de sacs de 30 kg sans aide</t>
  </si>
  <si>
    <t xml:space="preserve">Lombalgie, TMS du dos</t>
  </si>
  <si>
    <t xml:space="preserve">Diables disponibles ; consignes orales</t>
  </si>
  <si>
    <t xml:space="preserve">Table élévatrice, formation PRAP, rotation des postes</t>
  </si>
  <si>
    <t xml:space="preserve">Responsable atelier</t>
  </si>
  <si>
    <t xml:space="preserve">30/06/2026</t>
  </si>
  <si>
    <t xml:space="preserve">À faire</t>
  </si>
  <si>
    <t xml:space="preserve">Entrepôt</t>
  </si>
  <si>
    <t xml:space="preserve">Chute de hauteur</t>
  </si>
  <si>
    <t xml:space="preserve">Travail en hauteur sur rack (&gt;3 m) sans protection collective</t>
  </si>
  <si>
    <t xml:space="preserve">Chute, traumatisme grave</t>
  </si>
  <si>
    <t xml:space="preserve">Échelle mobile</t>
  </si>
  <si>
    <t xml:space="preserve">Garde-corps / nacelle (PEMP), habilitation hauteur</t>
  </si>
  <si>
    <t xml:space="preserve">Direction</t>
  </si>
  <si>
    <t xml:space="preserve">30/09/2026</t>
  </si>
  <si>
    <t xml:space="preserve">Bureaux</t>
  </si>
  <si>
    <t xml:space="preserve">Travail sur écran</t>
  </si>
  <si>
    <t xml:space="preserve">Poste écran mal réglé, durée prolongée</t>
  </si>
  <si>
    <t xml:space="preserve">Fatigue visuelle, TMS</t>
  </si>
  <si>
    <t xml:space="preserve">Sièges réglables</t>
  </si>
  <si>
    <t xml:space="preserve">Réglage des postes, pauses écran, visite médecine du travail</t>
  </si>
  <si>
    <t xml:space="preserve">RH</t>
  </si>
  <si>
    <t xml:space="preserve">31/12/2026</t>
  </si>
  <si>
    <t xml:space="preserve">Bruit</t>
  </si>
  <si>
    <t xml:space="preserve">Exposition &gt; 81 dB(A) plusieurs heures/jour</t>
  </si>
  <si>
    <t xml:space="preserve">Surdité professionnelle</t>
  </si>
  <si>
    <t xml:space="preserve">Bouchons d'oreille à disposition</t>
  </si>
  <si>
    <t xml:space="preserve">Encoffrement des machines, EPI adaptés, mesurage du bruit</t>
  </si>
  <si>
    <t xml:space="preserve">Resp. maintenance</t>
  </si>
  <si>
    <t xml:space="preserve">En cours</t>
  </si>
  <si>
    <t xml:space="preserve">PAPRIPACT — Programme Annuel de Prévention des Risques et d'Amélioration des Conditions de Travail</t>
  </si>
  <si>
    <t xml:space="preserve">Alimentation automatique depuis le DUERP : les risques de criticité RÉSIDUELLE ≥ 9 (Élevé / Critique) sont reportés ici. Complétez le coût estimé et les indicateurs de résultat (non saisis dans le DUERP).</t>
  </si>
  <si>
    <t xml:space="preserve">Réf.</t>
  </si>
  <si>
    <t xml:space="preserve">Famille de risque</t>
  </si>
  <si>
    <t xml:space="preserve">Criticité brute</t>
  </si>
  <si>
    <t xml:space="preserve">Criticité résiduelle</t>
  </si>
  <si>
    <t xml:space="preserve">Coût estimé (€)</t>
  </si>
  <si>
    <t xml:space="preserve">Indicateurs de résultat</t>
  </si>
  <si>
    <t xml:space="preserve">Gravité</t>
  </si>
  <si>
    <t xml:space="preserve">Fréquence</t>
  </si>
  <si>
    <t xml:space="preserve">Coeff</t>
  </si>
  <si>
    <t xml:space="preserve">Définition</t>
  </si>
  <si>
    <t xml:space="preserve">Chute de plain-pied</t>
  </si>
  <si>
    <t xml:space="preserve">Réalisé</t>
  </si>
  <si>
    <t xml:space="preserve">Manutention mécanique (levage, engins)</t>
  </si>
  <si>
    <t xml:space="preserve">Reporté</t>
  </si>
  <si>
    <t xml:space="preserve">Circulation &amp; déplacements internes</t>
  </si>
  <si>
    <t xml:space="preserve">Risque routier (mission / trajet)</t>
  </si>
  <si>
    <t xml:space="preserve">Machines &amp; équipements de travail</t>
  </si>
  <si>
    <t xml:space="preserve">Outils à main</t>
  </si>
  <si>
    <t xml:space="preserve">Effondrement &amp; chute d'objets</t>
  </si>
  <si>
    <t xml:space="preserve">Risque chimique (produits, ACD / CMR)</t>
  </si>
  <si>
    <t xml:space="preserve">Poussières &amp; fumées</t>
  </si>
  <si>
    <t xml:space="preserve">Risque biologique</t>
  </si>
  <si>
    <t xml:space="preserve">Équipements sous pression</t>
  </si>
  <si>
    <t xml:space="preserve">Incendie &amp; explosion</t>
  </si>
  <si>
    <t xml:space="preserve">Risque électrique</t>
  </si>
  <si>
    <t xml:space="preserve">Ambiances thermiques (chaud / froid)</t>
  </si>
  <si>
    <t xml:space="preserve">Vibrations mécaniques</t>
  </si>
  <si>
    <t xml:space="preserve">Éclairage</t>
  </si>
  <si>
    <t xml:space="preserve">Rayonnements (ionisants / non ionisants)</t>
  </si>
  <si>
    <t xml:space="preserve">Risques psychosociaux (stress, violences, harcèlement)</t>
  </si>
  <si>
    <t xml:space="preserve">Travail isolé</t>
  </si>
  <si>
    <t xml:space="preserve">Coactivité / entreprises extérieures</t>
  </si>
  <si>
    <t xml:space="preserve">Espaces confinés</t>
  </si>
  <si>
    <t xml:space="preserve">Travail hyperbare</t>
  </si>
  <si>
    <t xml:space="preserve">Conduite d'équipements mobiles / engins</t>
  </si>
  <si>
    <t xml:space="preserve">Organisation du travail (horaires, rythmes)</t>
  </si>
  <si>
    <t xml:space="preserve">Hygiène &amp; conditions sanitaires</t>
  </si>
  <si>
    <t xml:space="preserve">Autres risques</t>
  </si>
</sst>
</file>

<file path=xl/styles.xml><?xml version="1.0" encoding="utf-8"?>
<styleSheet xmlns="http://schemas.openxmlformats.org/spreadsheetml/2006/main">
  <numFmts count="4">
    <numFmt numFmtId="164" formatCode="General"/>
    <numFmt numFmtId="165" formatCode="0"/>
    <numFmt numFmtId="166" formatCode="#,##0&quot; €&quot;"/>
    <numFmt numFmtId="167" formatCode="0.0"/>
  </numFmts>
  <fonts count="17">
    <font>
      <sz val="11"/>
      <color theme="1"/>
      <name val="Calibri"/>
      <family val="2"/>
      <charset val="1"/>
    </font>
    <font>
      <sz val="10"/>
      <name val="Arial"/>
      <family val="0"/>
    </font>
    <font>
      <sz val="10"/>
      <name val="Arial"/>
      <family val="0"/>
    </font>
    <font>
      <sz val="10"/>
      <name val="Arial"/>
      <family val="0"/>
    </font>
    <font>
      <b val="true"/>
      <sz val="18"/>
      <color rgb="FF0A4F59"/>
      <name val="Arial"/>
      <family val="0"/>
      <charset val="1"/>
    </font>
    <font>
      <b val="true"/>
      <sz val="12"/>
      <color rgb="FF0A4F59"/>
      <name val="Arial"/>
      <family val="0"/>
      <charset val="1"/>
    </font>
    <font>
      <sz val="10"/>
      <color rgb="FF10242A"/>
      <name val="Arial"/>
      <family val="0"/>
      <charset val="1"/>
    </font>
    <font>
      <b val="true"/>
      <sz val="10"/>
      <color rgb="FF10242A"/>
      <name val="Arial"/>
      <family val="0"/>
      <charset val="1"/>
    </font>
    <font>
      <b val="true"/>
      <sz val="10"/>
      <color rgb="FF1F7A33"/>
      <name val="Arial"/>
      <family val="0"/>
      <charset val="1"/>
    </font>
    <font>
      <b val="true"/>
      <sz val="10"/>
      <color rgb="FF9A6A07"/>
      <name val="Arial"/>
      <family val="0"/>
      <charset val="1"/>
    </font>
    <font>
      <b val="true"/>
      <sz val="10"/>
      <color rgb="FFB3521E"/>
      <name val="Arial"/>
      <family val="0"/>
      <charset val="1"/>
    </font>
    <font>
      <b val="true"/>
      <sz val="10"/>
      <color rgb="FF9C0006"/>
      <name val="Arial"/>
      <family val="0"/>
      <charset val="1"/>
    </font>
    <font>
      <sz val="10"/>
      <color rgb="FF5B7178"/>
      <name val="Arial"/>
      <family val="0"/>
      <charset val="1"/>
    </font>
    <font>
      <b val="true"/>
      <sz val="15"/>
      <color rgb="FFFFFFFF"/>
      <name val="Arial"/>
      <family val="0"/>
      <charset val="1"/>
    </font>
    <font>
      <b val="true"/>
      <sz val="10"/>
      <color rgb="FFFFFFFF"/>
      <name val="Arial"/>
      <family val="0"/>
      <charset val="1"/>
    </font>
    <font>
      <b val="true"/>
      <sz val="14"/>
      <color rgb="FFFFFFFF"/>
      <name val="Arial"/>
      <family val="0"/>
      <charset val="1"/>
    </font>
    <font>
      <sz val="9"/>
      <color rgb="FF5B7178"/>
      <name val="Arial"/>
      <family val="0"/>
      <charset val="1"/>
    </font>
  </fonts>
  <fills count="8">
    <fill>
      <patternFill patternType="none"/>
    </fill>
    <fill>
      <patternFill patternType="gray125"/>
    </fill>
    <fill>
      <patternFill patternType="solid">
        <fgColor rgb="FFC6EFCE"/>
        <bgColor rgb="FFDBE9EA"/>
      </patternFill>
    </fill>
    <fill>
      <patternFill patternType="solid">
        <fgColor rgb="FFFFEB9C"/>
        <bgColor rgb="FFFCE4D6"/>
      </patternFill>
    </fill>
    <fill>
      <patternFill patternType="solid">
        <fgColor rgb="FFFCE4D6"/>
        <bgColor rgb="FFDBE9EA"/>
      </patternFill>
    </fill>
    <fill>
      <patternFill patternType="solid">
        <fgColor rgb="FFFFC7CE"/>
        <bgColor rgb="FFFCE4D6"/>
      </patternFill>
    </fill>
    <fill>
      <patternFill patternType="solid">
        <fgColor rgb="FF0A4F59"/>
        <bgColor rgb="FF333333"/>
      </patternFill>
    </fill>
    <fill>
      <patternFill patternType="solid">
        <fgColor rgb="FF15909F"/>
        <bgColor rgb="FF008080"/>
      </patternFill>
    </fill>
  </fills>
  <borders count="2">
    <border diagonalUp="false" diagonalDown="false">
      <left/>
      <right/>
      <top/>
      <bottom/>
      <diagonal/>
    </border>
    <border diagonalUp="false" diagonalDown="false">
      <left style="thin">
        <color rgb="FFDBE9EA"/>
      </left>
      <right style="thin">
        <color rgb="FFDBE9EA"/>
      </right>
      <top style="thin">
        <color rgb="FFDBE9EA"/>
      </top>
      <bottom style="thin">
        <color rgb="FFDBE9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xf numFmtId="164" fontId="13" fillId="6" borderId="0" xfId="0" applyFont="true" applyBorder="true" applyAlignment="true" applyProtection="false">
      <alignment horizontal="center" vertical="center" textRotation="0" wrapText="true" indent="0" shrinkToFit="false"/>
      <protection locked="true" hidden="false"/>
    </xf>
    <xf numFmtId="164" fontId="14" fillId="7"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5" fillId="6" borderId="0"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true" applyProtection="false">
      <alignment horizontal="left" vertical="center" textRotation="0" wrapText="true" indent="0" shrinkToFit="false"/>
      <protection locked="true" hidden="false"/>
    </xf>
    <xf numFmtId="166" fontId="6" fillId="0" borderId="1" xfId="0" applyFont="true" applyBorder="true" applyAlignment="true" applyProtection="false">
      <alignment horizontal="center" vertical="center" textRotation="0" wrapText="true" indent="0" shrinkToFit="false"/>
      <protection locked="true" hidden="false"/>
    </xf>
    <xf numFmtId="164" fontId="14" fillId="6" borderId="0" xfId="0" applyFont="true" applyBorder="false" applyAlignment="true" applyProtection="false">
      <alignment horizontal="center" vertical="center" textRotation="0" wrapText="tru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5909F"/>
          <bgColor rgb="FF000000"/>
        </patternFill>
      </fill>
    </dxf>
    <dxf>
      <fill>
        <patternFill patternType="solid">
          <bgColor rgb="FF000000"/>
        </patternFill>
      </fill>
    </dxf>
    <dxf>
      <fill>
        <patternFill patternType="solid">
          <fgColor rgb="FF10242A"/>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CE4D6"/>
          <bgColor rgb="FF000000"/>
        </patternFill>
      </fill>
    </dxf>
    <dxf>
      <fill>
        <patternFill patternType="solid">
          <fgColor rgb="FFFFEB9C"/>
          <bgColor rgb="FF000000"/>
        </patternFill>
      </fill>
    </dxf>
    <dxf>
      <fill>
        <patternFill patternType="solid">
          <fgColor rgb="FF1F7A33"/>
          <bgColor rgb="FF000000"/>
        </patternFill>
      </fill>
    </dxf>
    <dxf>
      <fill>
        <patternFill patternType="solid">
          <fgColor rgb="FF9A6A07"/>
          <bgColor rgb="FF000000"/>
        </patternFill>
      </fill>
    </dxf>
    <dxf>
      <fill>
        <patternFill patternType="solid">
          <fgColor rgb="FFB3521E"/>
          <bgColor rgb="FF000000"/>
        </patternFill>
      </fill>
    </dxf>
    <dxf>
      <fill>
        <patternFill patternType="solid">
          <fgColor rgb="FF0A4F59"/>
          <bgColor rgb="FF000000"/>
        </patternFill>
      </fill>
    </dxf>
    <dxf>
      <font>
        <name val="Arial"/>
        <charset val="1"/>
        <family val="0"/>
        <b val="1"/>
        <color rgb="FF9C0006"/>
        <sz val="10"/>
      </font>
      <fill>
        <patternFill>
          <bgColor rgb="FFFFC7CE"/>
        </patternFill>
      </fill>
    </dxf>
    <dxf>
      <font>
        <name val="Arial"/>
        <charset val="1"/>
        <family val="0"/>
        <b val="1"/>
        <color rgb="FFB3521E"/>
        <sz val="10"/>
      </font>
      <fill>
        <patternFill>
          <bgColor rgb="FFFCE4D6"/>
        </patternFill>
      </fill>
    </dxf>
    <dxf>
      <font>
        <name val="Arial"/>
        <charset val="1"/>
        <family val="0"/>
        <b val="1"/>
        <color rgb="FF9A6A07"/>
        <sz val="10"/>
      </font>
      <fill>
        <patternFill>
          <bgColor rgb="FFFFEB9C"/>
        </patternFill>
      </fill>
    </dxf>
    <dxf>
      <font>
        <name val="Arial"/>
        <charset val="1"/>
        <family val="0"/>
        <b val="1"/>
        <color rgb="FF1F7A33"/>
        <sz val="10"/>
      </font>
      <fill>
        <patternFill>
          <bgColor rgb="FFC6EFCE"/>
        </patternFill>
      </fill>
    </dxf>
    <dxf>
      <font>
        <name val="Arial"/>
        <charset val="1"/>
        <family val="0"/>
        <b val="1"/>
        <color rgb="FFFFFFFF"/>
        <sz val="10"/>
      </font>
      <fill>
        <patternFill>
          <bgColor rgb="FF0A4F59"/>
        </patternFill>
      </fill>
    </dxf>
  </dxfs>
  <colors>
    <indexedColors>
      <rgbColor rgb="FF000000"/>
      <rgbColor rgb="FFFFFFFF"/>
      <rgbColor rgb="FFFF0000"/>
      <rgbColor rgb="FF00FF00"/>
      <rgbColor rgb="FF0000FF"/>
      <rgbColor rgb="FFFFFF00"/>
      <rgbColor rgb="FFFF00FF"/>
      <rgbColor rgb="FF00FFFF"/>
      <rgbColor rgb="FF9C0006"/>
      <rgbColor rgb="FF1F7A33"/>
      <rgbColor rgb="FF000080"/>
      <rgbColor rgb="FF9A6A07"/>
      <rgbColor rgb="FF800080"/>
      <rgbColor rgb="FF15909F"/>
      <rgbColor rgb="FFC0C0C0"/>
      <rgbColor rgb="FF808080"/>
      <rgbColor rgb="FF9999FF"/>
      <rgbColor rgb="FF993366"/>
      <rgbColor rgb="FFFCE4D6"/>
      <rgbColor rgb="FFDBE9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B7178"/>
      <rgbColor rgb="FF969696"/>
      <rgbColor rgb="FF0A4F59"/>
      <rgbColor rgb="FF339966"/>
      <rgbColor rgb="FF10242A"/>
      <rgbColor rgb="FF333300"/>
      <rgbColor rgb="FFB352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4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12"/>
    <col collapsed="false" customWidth="true" hidden="false" outlineLevel="0" max="4" min="4" style="0" width="70"/>
  </cols>
  <sheetData>
    <row r="2" customFormat="false" ht="30" hidden="false" customHeight="true" outlineLevel="0" collapsed="false">
      <c r="B2" s="1" t="s">
        <v>0</v>
      </c>
    </row>
    <row r="4" customFormat="false" ht="15" hidden="false" customHeight="false" outlineLevel="0" collapsed="false">
      <c r="B4" s="2" t="s">
        <v>1</v>
      </c>
    </row>
    <row r="5" customFormat="false" ht="15.75" hidden="false" customHeight="true" outlineLevel="0" collapsed="false">
      <c r="B5" s="3" t="s">
        <v>2</v>
      </c>
      <c r="C5" s="3"/>
      <c r="D5" s="3"/>
    </row>
    <row r="7" customFormat="false" ht="15" hidden="false" customHeight="false" outlineLevel="0" collapsed="false">
      <c r="B7" s="2" t="s">
        <v>3</v>
      </c>
    </row>
    <row r="8" customFormat="false" ht="15.75" hidden="false" customHeight="true" outlineLevel="0" collapsed="false">
      <c r="B8" s="3" t="s">
        <v>4</v>
      </c>
      <c r="C8" s="3"/>
      <c r="D8" s="3"/>
    </row>
    <row r="9" customFormat="false" ht="15.75" hidden="false" customHeight="true" outlineLevel="0" collapsed="false">
      <c r="B9" s="3" t="s">
        <v>5</v>
      </c>
      <c r="C9" s="3"/>
      <c r="D9" s="3"/>
    </row>
    <row r="11" customFormat="false" ht="15" hidden="false" customHeight="false" outlineLevel="0" collapsed="false">
      <c r="B11" s="2" t="s">
        <v>6</v>
      </c>
    </row>
    <row r="12" customFormat="false" ht="30" hidden="false" customHeight="true" outlineLevel="0" collapsed="false">
      <c r="B12" s="4" t="s">
        <v>7</v>
      </c>
      <c r="D12" s="5" t="s">
        <v>8</v>
      </c>
    </row>
    <row r="13" customFormat="false" ht="30" hidden="false" customHeight="true" outlineLevel="0" collapsed="false">
      <c r="B13" s="4" t="s">
        <v>9</v>
      </c>
      <c r="D13" s="5" t="s">
        <v>10</v>
      </c>
    </row>
    <row r="14" customFormat="false" ht="30" hidden="false" customHeight="true" outlineLevel="0" collapsed="false">
      <c r="B14" s="4" t="s">
        <v>11</v>
      </c>
      <c r="D14" s="5" t="s">
        <v>12</v>
      </c>
    </row>
    <row r="15" customFormat="false" ht="30" hidden="false" customHeight="true" outlineLevel="0" collapsed="false">
      <c r="B15" s="4" t="s">
        <v>13</v>
      </c>
      <c r="D15" s="5" t="s">
        <v>14</v>
      </c>
    </row>
    <row r="17" customFormat="false" ht="15" hidden="false" customHeight="false" outlineLevel="0" collapsed="false">
      <c r="B17" s="2" t="s">
        <v>15</v>
      </c>
    </row>
    <row r="18" customFormat="false" ht="15" hidden="false" customHeight="false" outlineLevel="0" collapsed="false">
      <c r="B18" s="6" t="s">
        <v>16</v>
      </c>
    </row>
    <row r="19" customFormat="false" ht="15" hidden="false" customHeight="false" outlineLevel="0" collapsed="false">
      <c r="B19" s="6" t="s">
        <v>17</v>
      </c>
    </row>
    <row r="20" customFormat="false" ht="15" hidden="false" customHeight="false" outlineLevel="0" collapsed="false">
      <c r="B20" s="6" t="s">
        <v>18</v>
      </c>
    </row>
    <row r="21" customFormat="false" ht="15" hidden="false" customHeight="false" outlineLevel="0" collapsed="false">
      <c r="B21" s="6" t="s">
        <v>19</v>
      </c>
    </row>
    <row r="23" customFormat="false" ht="15" hidden="false" customHeight="false" outlineLevel="0" collapsed="false">
      <c r="B23" s="2" t="s">
        <v>20</v>
      </c>
    </row>
    <row r="24" customFormat="false" ht="27.75" hidden="false" customHeight="true" outlineLevel="0" collapsed="false">
      <c r="B24" s="7" t="s">
        <v>21</v>
      </c>
      <c r="D24" s="5" t="s">
        <v>22</v>
      </c>
    </row>
    <row r="25" customFormat="false" ht="27.75" hidden="false" customHeight="true" outlineLevel="0" collapsed="false">
      <c r="B25" s="7" t="s">
        <v>23</v>
      </c>
      <c r="D25" s="5" t="s">
        <v>24</v>
      </c>
    </row>
    <row r="26" customFormat="false" ht="27.75" hidden="false" customHeight="true" outlineLevel="0" collapsed="false">
      <c r="B26" s="7" t="s">
        <v>25</v>
      </c>
      <c r="D26" s="5" t="s">
        <v>26</v>
      </c>
    </row>
    <row r="27" customFormat="false" ht="27.75" hidden="false" customHeight="true" outlineLevel="0" collapsed="false">
      <c r="B27" s="7" t="s">
        <v>27</v>
      </c>
      <c r="D27" s="5" t="s">
        <v>28</v>
      </c>
    </row>
    <row r="29" customFormat="false" ht="15" hidden="false" customHeight="false" outlineLevel="0" collapsed="false">
      <c r="B29" s="2" t="s">
        <v>29</v>
      </c>
    </row>
    <row r="30" customFormat="false" ht="15" hidden="false" customHeight="false" outlineLevel="0" collapsed="false">
      <c r="B30" s="8" t="s">
        <v>30</v>
      </c>
    </row>
    <row r="31" customFormat="false" ht="15" hidden="false" customHeight="false" outlineLevel="0" collapsed="false">
      <c r="B31" s="9" t="s">
        <v>31</v>
      </c>
    </row>
    <row r="32" customFormat="false" ht="15" hidden="false" customHeight="false" outlineLevel="0" collapsed="false">
      <c r="B32" s="10" t="s">
        <v>32</v>
      </c>
    </row>
    <row r="33" customFormat="false" ht="15" hidden="false" customHeight="false" outlineLevel="0" collapsed="false">
      <c r="B33" s="11" t="s">
        <v>33</v>
      </c>
    </row>
    <row r="35" customFormat="false" ht="15" hidden="false" customHeight="false" outlineLevel="0" collapsed="false">
      <c r="B35" s="2" t="s">
        <v>34</v>
      </c>
    </row>
    <row r="36" customFormat="false" ht="15.75" hidden="false" customHeight="true" outlineLevel="0" collapsed="false">
      <c r="B36" s="3" t="s">
        <v>35</v>
      </c>
      <c r="C36" s="3"/>
      <c r="D36" s="3"/>
    </row>
    <row r="38" customFormat="false" ht="15" hidden="false" customHeight="false" outlineLevel="0" collapsed="false">
      <c r="B38" s="2" t="s">
        <v>36</v>
      </c>
    </row>
    <row r="39" customFormat="false" ht="15.75" hidden="false" customHeight="true" outlineLevel="0" collapsed="false">
      <c r="B39" s="3" t="s">
        <v>37</v>
      </c>
      <c r="C39" s="3"/>
      <c r="D39" s="3"/>
    </row>
    <row r="41" customFormat="false" ht="15" hidden="false" customHeight="false" outlineLevel="0" collapsed="false">
      <c r="B41" s="2" t="s">
        <v>38</v>
      </c>
    </row>
    <row r="42" customFormat="false" ht="15.75" hidden="false" customHeight="true" outlineLevel="0" collapsed="false">
      <c r="B42" s="3" t="s">
        <v>39</v>
      </c>
      <c r="C42" s="3"/>
      <c r="D42" s="3"/>
    </row>
    <row r="43" customFormat="false" ht="15.75" hidden="false" customHeight="true" outlineLevel="0" collapsed="false">
      <c r="B43" s="3" t="s">
        <v>40</v>
      </c>
      <c r="C43" s="3"/>
      <c r="D43" s="3"/>
    </row>
    <row r="44" customFormat="false" ht="15.75" hidden="false" customHeight="true" outlineLevel="0" collapsed="false">
      <c r="B44" s="3" t="s">
        <v>41</v>
      </c>
      <c r="C44" s="3"/>
      <c r="D44" s="3"/>
    </row>
    <row r="45" customFormat="false" ht="15.75" hidden="false" customHeight="true" outlineLevel="0" collapsed="false">
      <c r="B45" s="3" t="s">
        <v>42</v>
      </c>
      <c r="C45" s="3"/>
      <c r="D45" s="3"/>
    </row>
    <row r="47" customFormat="false" ht="15.75" hidden="false" customHeight="true" outlineLevel="0" collapsed="false">
      <c r="B47" s="12" t="s">
        <v>43</v>
      </c>
      <c r="C47" s="12"/>
      <c r="D47" s="12"/>
    </row>
  </sheetData>
  <mergeCells count="10">
    <mergeCell ref="B5:D5"/>
    <mergeCell ref="B8:D8"/>
    <mergeCell ref="B9:D9"/>
    <mergeCell ref="B36:D36"/>
    <mergeCell ref="B39:D39"/>
    <mergeCell ref="B42:D42"/>
    <mergeCell ref="B43:D43"/>
    <mergeCell ref="B44:D44"/>
    <mergeCell ref="B45:D45"/>
    <mergeCell ref="B47:D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24"/>
    <col collapsed="false" customWidth="true" hidden="false" outlineLevel="0" max="4" min="4" style="0" width="30"/>
    <col collapsed="false" customWidth="true" hidden="false" outlineLevel="0" max="5" min="5" style="0" width="24"/>
    <col collapsed="false" customWidth="true" hidden="false" outlineLevel="0" max="6" min="6" style="0" width="16"/>
    <col collapsed="false" customWidth="true" hidden="false" outlineLevel="0" max="7" min="7" style="0" width="18"/>
    <col collapsed="false" customWidth="true" hidden="false" outlineLevel="0" max="8" min="8" style="0" width="12"/>
    <col collapsed="false" customWidth="true" hidden="false" outlineLevel="0" max="9" min="9" style="0" width="11"/>
    <col collapsed="false" customWidth="true" hidden="false" outlineLevel="0" max="10" min="10" style="0" width="28"/>
    <col collapsed="false" customWidth="true" hidden="false" outlineLevel="0" max="11" min="11" style="0" width="18"/>
    <col collapsed="false" customWidth="true" hidden="false" outlineLevel="0" max="12" min="12" style="0" width="32"/>
    <col collapsed="false" customWidth="true" hidden="false" outlineLevel="0" max="13" min="13" style="0" width="13"/>
    <col collapsed="false" customWidth="true" hidden="false" outlineLevel="0" max="15" min="14" style="0" width="12"/>
    <col collapsed="false" customWidth="true" hidden="false" outlineLevel="0" max="16" min="16" style="0" width="18"/>
    <col collapsed="false" customWidth="true" hidden="false" outlineLevel="0" max="18" min="17" style="0" width="12"/>
    <col collapsed="false" customWidth="true" hidden="true" outlineLevel="0" max="20" min="20" style="0" width="13"/>
  </cols>
  <sheetData>
    <row r="1" customFormat="false" ht="27.75" hidden="false" customHeight="true" outlineLevel="0" collapsed="false">
      <c r="A1" s="13" t="s">
        <v>44</v>
      </c>
      <c r="B1" s="13"/>
      <c r="C1" s="13"/>
      <c r="D1" s="13"/>
      <c r="E1" s="13"/>
      <c r="F1" s="13"/>
      <c r="G1" s="13"/>
      <c r="H1" s="13"/>
      <c r="I1" s="13"/>
      <c r="J1" s="13"/>
      <c r="K1" s="13"/>
      <c r="L1" s="13"/>
      <c r="M1" s="13"/>
      <c r="N1" s="13"/>
      <c r="O1" s="13"/>
      <c r="P1" s="13"/>
      <c r="Q1" s="13"/>
      <c r="R1" s="13"/>
    </row>
    <row r="2" customFormat="false" ht="42" hidden="false" customHeight="true" outlineLevel="0" collapsed="false">
      <c r="A2" s="14" t="s">
        <v>45</v>
      </c>
      <c r="B2" s="14" t="s">
        <v>46</v>
      </c>
      <c r="C2" s="14" t="s">
        <v>47</v>
      </c>
      <c r="D2" s="14" t="s">
        <v>48</v>
      </c>
      <c r="E2" s="14" t="s">
        <v>49</v>
      </c>
      <c r="F2" s="14" t="s">
        <v>50</v>
      </c>
      <c r="G2" s="14" t="s">
        <v>51</v>
      </c>
      <c r="H2" s="14" t="s">
        <v>52</v>
      </c>
      <c r="I2" s="14" t="s">
        <v>53</v>
      </c>
      <c r="J2" s="14" t="s">
        <v>54</v>
      </c>
      <c r="K2" s="14" t="s">
        <v>55</v>
      </c>
      <c r="L2" s="14" t="s">
        <v>56</v>
      </c>
      <c r="M2" s="14" t="s">
        <v>57</v>
      </c>
      <c r="N2" s="14" t="s">
        <v>58</v>
      </c>
      <c r="O2" s="14" t="s">
        <v>59</v>
      </c>
      <c r="P2" s="14" t="s">
        <v>60</v>
      </c>
      <c r="Q2" s="14" t="s">
        <v>61</v>
      </c>
      <c r="R2" s="14" t="s">
        <v>62</v>
      </c>
    </row>
    <row r="3" customFormat="false" ht="23.85" hidden="false" customHeight="false" outlineLevel="0" collapsed="false">
      <c r="A3" s="15" t="n">
        <v>1</v>
      </c>
      <c r="B3" s="16" t="s">
        <v>63</v>
      </c>
      <c r="C3" s="16" t="s">
        <v>64</v>
      </c>
      <c r="D3" s="17" t="s">
        <v>65</v>
      </c>
      <c r="E3" s="17" t="s">
        <v>66</v>
      </c>
      <c r="F3" s="15" t="s">
        <v>11</v>
      </c>
      <c r="G3" s="15" t="s">
        <v>19</v>
      </c>
      <c r="H3" s="18" t="n">
        <f aca="false">IFERROR(VALUE(LEFT(F3,1))*VALUE(LEFT(G3,1)),"")</f>
        <v>12</v>
      </c>
      <c r="I3" s="15" t="str">
        <f aca="false">IF($H3="","",IF($H3&gt;=16,"Critique",IF($H3&gt;=9,"Élevé",IF($H3&gt;=5,"Moyen","Faible"))))</f>
        <v>Élevé</v>
      </c>
      <c r="J3" s="17" t="s">
        <v>67</v>
      </c>
      <c r="K3" s="15" t="s">
        <v>25</v>
      </c>
      <c r="L3" s="17" t="s">
        <v>68</v>
      </c>
      <c r="M3" s="18" t="n">
        <f aca="false">IF($H3="","",ROUND($H3*IFERROR(VLOOKUP($K3,Listes!$E$2:$F$5,2,FALSE()),1),0))</f>
        <v>12</v>
      </c>
      <c r="N3" s="15" t="str">
        <f aca="false">IF($M3="","",IF($M3&gt;=16,"Critique",IF($M3&gt;=9,"Élevé",IF($M3&gt;=5,"Moyen","Faible"))))</f>
        <v>Élevé</v>
      </c>
      <c r="O3" s="15" t="str">
        <f aca="false">IF($M3="","",IF($M3&gt;=9,"OUI",""))</f>
        <v>OUI</v>
      </c>
      <c r="P3" s="16" t="s">
        <v>69</v>
      </c>
      <c r="Q3" s="15" t="s">
        <v>70</v>
      </c>
      <c r="R3" s="15" t="s">
        <v>71</v>
      </c>
      <c r="T3" s="19" t="n">
        <f aca="false">IFERROR(ROUND(VALUE(LEFT(F3,1))*VALUE(LEFT(G3,1))*IFERROR(VLOOKUP($K3,Listes!$E$2:$F$5,2,FALSE()),1),0),0)</f>
        <v>12</v>
      </c>
    </row>
    <row r="4" customFormat="false" ht="23.85" hidden="false" customHeight="false" outlineLevel="0" collapsed="false">
      <c r="A4" s="15" t="n">
        <v>2</v>
      </c>
      <c r="B4" s="16" t="s">
        <v>72</v>
      </c>
      <c r="C4" s="16" t="s">
        <v>73</v>
      </c>
      <c r="D4" s="17" t="s">
        <v>74</v>
      </c>
      <c r="E4" s="17" t="s">
        <v>75</v>
      </c>
      <c r="F4" s="15" t="s">
        <v>13</v>
      </c>
      <c r="G4" s="15" t="s">
        <v>17</v>
      </c>
      <c r="H4" s="18" t="n">
        <f aca="false">IFERROR(VALUE(LEFT(F4,1))*VALUE(LEFT(G4,1)),"")</f>
        <v>8</v>
      </c>
      <c r="I4" s="15" t="str">
        <f aca="false">IF($H4="","",IF($H4&gt;=16,"Critique",IF($H4&gt;=9,"Élevé",IF($H4&gt;=5,"Moyen","Faible"))))</f>
        <v>Moyen</v>
      </c>
      <c r="J4" s="17" t="s">
        <v>76</v>
      </c>
      <c r="K4" s="15" t="s">
        <v>27</v>
      </c>
      <c r="L4" s="17" t="s">
        <v>77</v>
      </c>
      <c r="M4" s="18" t="n">
        <f aca="false">IF($H4="","",ROUND($H4*IFERROR(VLOOKUP($K4,Listes!$E$2:$F$5,2,FALSE()),1),0))</f>
        <v>12</v>
      </c>
      <c r="N4" s="15" t="str">
        <f aca="false">IF($M4="","",IF($M4&gt;=16,"Critique",IF($M4&gt;=9,"Élevé",IF($M4&gt;=5,"Moyen","Faible"))))</f>
        <v>Élevé</v>
      </c>
      <c r="O4" s="15" t="str">
        <f aca="false">IF($M4="","",IF($M4&gt;=9,"OUI",""))</f>
        <v>OUI</v>
      </c>
      <c r="P4" s="16" t="s">
        <v>78</v>
      </c>
      <c r="Q4" s="15" t="s">
        <v>79</v>
      </c>
      <c r="R4" s="15" t="s">
        <v>71</v>
      </c>
      <c r="T4" s="19" t="n">
        <f aca="false">IFERROR(ROUND(VALUE(LEFT(F4,1))*VALUE(LEFT(G4,1))*IFERROR(VLOOKUP($K4,Listes!$E$2:$F$5,2,FALSE()),1),0),0)</f>
        <v>12</v>
      </c>
    </row>
    <row r="5" customFormat="false" ht="23.85" hidden="false" customHeight="false" outlineLevel="0" collapsed="false">
      <c r="A5" s="15" t="n">
        <v>3</v>
      </c>
      <c r="B5" s="16" t="s">
        <v>80</v>
      </c>
      <c r="C5" s="16" t="s">
        <v>81</v>
      </c>
      <c r="D5" s="17" t="s">
        <v>82</v>
      </c>
      <c r="E5" s="17" t="s">
        <v>83</v>
      </c>
      <c r="F5" s="15" t="s">
        <v>7</v>
      </c>
      <c r="G5" s="15" t="s">
        <v>19</v>
      </c>
      <c r="H5" s="18" t="n">
        <f aca="false">IFERROR(VALUE(LEFT(F5,1))*VALUE(LEFT(G5,1)),"")</f>
        <v>4</v>
      </c>
      <c r="I5" s="15" t="str">
        <f aca="false">IF($H5="","",IF($H5&gt;=16,"Critique",IF($H5&gt;=9,"Élevé",IF($H5&gt;=5,"Moyen","Faible"))))</f>
        <v>Faible</v>
      </c>
      <c r="J5" s="17" t="s">
        <v>84</v>
      </c>
      <c r="K5" s="15" t="s">
        <v>23</v>
      </c>
      <c r="L5" s="17" t="s">
        <v>85</v>
      </c>
      <c r="M5" s="18" t="n">
        <f aca="false">IF($H5="","",ROUND($H5*IFERROR(VLOOKUP($K5,Listes!$E$2:$F$5,2,FALSE()),1),0))</f>
        <v>2</v>
      </c>
      <c r="N5" s="15" t="str">
        <f aca="false">IF($M5="","",IF($M5&gt;=16,"Critique",IF($M5&gt;=9,"Élevé",IF($M5&gt;=5,"Moyen","Faible"))))</f>
        <v>Faible</v>
      </c>
      <c r="O5" s="15" t="str">
        <f aca="false">IF($M5="","",IF($M5&gt;=9,"OUI",""))</f>
        <v/>
      </c>
      <c r="P5" s="16" t="s">
        <v>86</v>
      </c>
      <c r="Q5" s="15" t="s">
        <v>87</v>
      </c>
      <c r="R5" s="15" t="s">
        <v>71</v>
      </c>
      <c r="T5" s="19" t="n">
        <f aca="false">IFERROR(ROUND(VALUE(LEFT(F5,1))*VALUE(LEFT(G5,1))*IFERROR(VLOOKUP($K5,Listes!$E$2:$F$5,2,FALSE()),1),0),0)</f>
        <v>2</v>
      </c>
    </row>
    <row r="6" customFormat="false" ht="23.85" hidden="false" customHeight="false" outlineLevel="0" collapsed="false">
      <c r="A6" s="15" t="n">
        <v>4</v>
      </c>
      <c r="B6" s="16" t="s">
        <v>63</v>
      </c>
      <c r="C6" s="16" t="s">
        <v>88</v>
      </c>
      <c r="D6" s="17" t="s">
        <v>89</v>
      </c>
      <c r="E6" s="17" t="s">
        <v>90</v>
      </c>
      <c r="F6" s="15" t="s">
        <v>9</v>
      </c>
      <c r="G6" s="15" t="s">
        <v>18</v>
      </c>
      <c r="H6" s="18" t="n">
        <f aca="false">IFERROR(VALUE(LEFT(F6,1))*VALUE(LEFT(G6,1)),"")</f>
        <v>6</v>
      </c>
      <c r="I6" s="15" t="str">
        <f aca="false">IF($H6="","",IF($H6&gt;=16,"Critique",IF($H6&gt;=9,"Élevé",IF($H6&gt;=5,"Moyen","Faible"))))</f>
        <v>Moyen</v>
      </c>
      <c r="J6" s="17" t="s">
        <v>91</v>
      </c>
      <c r="K6" s="15" t="s">
        <v>27</v>
      </c>
      <c r="L6" s="17" t="s">
        <v>92</v>
      </c>
      <c r="M6" s="18" t="n">
        <f aca="false">IF($H6="","",ROUND($H6*IFERROR(VLOOKUP($K6,Listes!$E$2:$F$5,2,FALSE()),1),0))</f>
        <v>9</v>
      </c>
      <c r="N6" s="15" t="str">
        <f aca="false">IF($M6="","",IF($M6&gt;=16,"Critique",IF($M6&gt;=9,"Élevé",IF($M6&gt;=5,"Moyen","Faible"))))</f>
        <v>Élevé</v>
      </c>
      <c r="O6" s="15" t="str">
        <f aca="false">IF($M6="","",IF($M6&gt;=9,"OUI",""))</f>
        <v>OUI</v>
      </c>
      <c r="P6" s="16" t="s">
        <v>93</v>
      </c>
      <c r="Q6" s="15" t="s">
        <v>70</v>
      </c>
      <c r="R6" s="15" t="s">
        <v>94</v>
      </c>
      <c r="T6" s="19" t="n">
        <f aca="false">IFERROR(ROUND(VALUE(LEFT(F6,1))*VALUE(LEFT(G6,1))*IFERROR(VLOOKUP($K6,Listes!$E$2:$F$5,2,FALSE()),1),0),0)</f>
        <v>9</v>
      </c>
    </row>
    <row r="7" customFormat="false" ht="15" hidden="false" customHeight="false" outlineLevel="0" collapsed="false">
      <c r="A7" s="15"/>
      <c r="B7" s="16"/>
      <c r="C7" s="16"/>
      <c r="D7" s="17"/>
      <c r="E7" s="17"/>
      <c r="F7" s="15"/>
      <c r="G7" s="15"/>
      <c r="H7" s="18" t="str">
        <f aca="false">IFERROR(VALUE(LEFT(F7,1))*VALUE(LEFT(G7,1)),"")</f>
        <v/>
      </c>
      <c r="I7" s="15" t="str">
        <f aca="false">IF($H7="","",IF($H7&gt;=16,"Critique",IF($H7&gt;=9,"Élevé",IF($H7&gt;=5,"Moyen","Faible"))))</f>
        <v/>
      </c>
      <c r="J7" s="17"/>
      <c r="K7" s="15"/>
      <c r="L7" s="17"/>
      <c r="M7" s="18" t="str">
        <f aca="false">IF($H7="","",ROUND($H7*IFERROR(VLOOKUP($K7,Listes!$E$2:$F$5,2,FALSE()),1),0))</f>
        <v/>
      </c>
      <c r="N7" s="15" t="str">
        <f aca="false">IF($M7="","",IF($M7&gt;=16,"Critique",IF($M7&gt;=9,"Élevé",IF($M7&gt;=5,"Moyen","Faible"))))</f>
        <v/>
      </c>
      <c r="O7" s="15" t="str">
        <f aca="false">IF($M7="","",IF($M7&gt;=9,"OUI",""))</f>
        <v/>
      </c>
      <c r="P7" s="16"/>
      <c r="Q7" s="15"/>
      <c r="R7" s="15"/>
      <c r="T7" s="19" t="n">
        <f aca="false">IFERROR(ROUND(VALUE(LEFT(F7,1))*VALUE(LEFT(G7,1))*IFERROR(VLOOKUP($K7,Listes!$E$2:$F$5,2,FALSE()),1),0),0)</f>
        <v>0</v>
      </c>
    </row>
    <row r="8" customFormat="false" ht="15" hidden="false" customHeight="false" outlineLevel="0" collapsed="false">
      <c r="A8" s="15"/>
      <c r="B8" s="16"/>
      <c r="C8" s="16"/>
      <c r="D8" s="17"/>
      <c r="E8" s="17"/>
      <c r="F8" s="15"/>
      <c r="G8" s="15"/>
      <c r="H8" s="18" t="str">
        <f aca="false">IFERROR(VALUE(LEFT(F8,1))*VALUE(LEFT(G8,1)),"")</f>
        <v/>
      </c>
      <c r="I8" s="15" t="str">
        <f aca="false">IF($H8="","",IF($H8&gt;=16,"Critique",IF($H8&gt;=9,"Élevé",IF($H8&gt;=5,"Moyen","Faible"))))</f>
        <v/>
      </c>
      <c r="J8" s="17"/>
      <c r="K8" s="15"/>
      <c r="L8" s="17"/>
      <c r="M8" s="18" t="str">
        <f aca="false">IF($H8="","",ROUND($H8*IFERROR(VLOOKUP($K8,Listes!$E$2:$F$5,2,FALSE()),1),0))</f>
        <v/>
      </c>
      <c r="N8" s="15" t="str">
        <f aca="false">IF($M8="","",IF($M8&gt;=16,"Critique",IF($M8&gt;=9,"Élevé",IF($M8&gt;=5,"Moyen","Faible"))))</f>
        <v/>
      </c>
      <c r="O8" s="15" t="str">
        <f aca="false">IF($M8="","",IF($M8&gt;=9,"OUI",""))</f>
        <v/>
      </c>
      <c r="P8" s="16"/>
      <c r="Q8" s="15"/>
      <c r="R8" s="15"/>
      <c r="T8" s="19" t="n">
        <f aca="false">IFERROR(ROUND(VALUE(LEFT(F8,1))*VALUE(LEFT(G8,1))*IFERROR(VLOOKUP($K8,Listes!$E$2:$F$5,2,FALSE()),1),0),0)</f>
        <v>0</v>
      </c>
    </row>
    <row r="9" customFormat="false" ht="15" hidden="false" customHeight="false" outlineLevel="0" collapsed="false">
      <c r="A9" s="15"/>
      <c r="B9" s="16"/>
      <c r="C9" s="16"/>
      <c r="D9" s="17"/>
      <c r="E9" s="17"/>
      <c r="F9" s="15"/>
      <c r="G9" s="15"/>
      <c r="H9" s="18" t="str">
        <f aca="false">IFERROR(VALUE(LEFT(F9,1))*VALUE(LEFT(G9,1)),"")</f>
        <v/>
      </c>
      <c r="I9" s="15" t="str">
        <f aca="false">IF($H9="","",IF($H9&gt;=16,"Critique",IF($H9&gt;=9,"Élevé",IF($H9&gt;=5,"Moyen","Faible"))))</f>
        <v/>
      </c>
      <c r="J9" s="17"/>
      <c r="K9" s="15"/>
      <c r="L9" s="17"/>
      <c r="M9" s="18" t="str">
        <f aca="false">IF($H9="","",ROUND($H9*IFERROR(VLOOKUP($K9,Listes!$E$2:$F$5,2,FALSE()),1),0))</f>
        <v/>
      </c>
      <c r="N9" s="15" t="str">
        <f aca="false">IF($M9="","",IF($M9&gt;=16,"Critique",IF($M9&gt;=9,"Élevé",IF($M9&gt;=5,"Moyen","Faible"))))</f>
        <v/>
      </c>
      <c r="O9" s="15" t="str">
        <f aca="false">IF($M9="","",IF($M9&gt;=9,"OUI",""))</f>
        <v/>
      </c>
      <c r="P9" s="16"/>
      <c r="Q9" s="15"/>
      <c r="R9" s="15"/>
      <c r="T9" s="19" t="n">
        <f aca="false">IFERROR(ROUND(VALUE(LEFT(F9,1))*VALUE(LEFT(G9,1))*IFERROR(VLOOKUP($K9,Listes!$E$2:$F$5,2,FALSE()),1),0),0)</f>
        <v>0</v>
      </c>
    </row>
    <row r="10" customFormat="false" ht="15" hidden="false" customHeight="false" outlineLevel="0" collapsed="false">
      <c r="A10" s="15"/>
      <c r="B10" s="16"/>
      <c r="C10" s="16"/>
      <c r="D10" s="17"/>
      <c r="E10" s="17"/>
      <c r="F10" s="15"/>
      <c r="G10" s="15"/>
      <c r="H10" s="18" t="str">
        <f aca="false">IFERROR(VALUE(LEFT(F10,1))*VALUE(LEFT(G10,1)),"")</f>
        <v/>
      </c>
      <c r="I10" s="15" t="str">
        <f aca="false">IF($H10="","",IF($H10&gt;=16,"Critique",IF($H10&gt;=9,"Élevé",IF($H10&gt;=5,"Moyen","Faible"))))</f>
        <v/>
      </c>
      <c r="J10" s="17"/>
      <c r="K10" s="15"/>
      <c r="L10" s="17"/>
      <c r="M10" s="18" t="str">
        <f aca="false">IF($H10="","",ROUND($H10*IFERROR(VLOOKUP($K10,Listes!$E$2:$F$5,2,FALSE()),1),0))</f>
        <v/>
      </c>
      <c r="N10" s="15" t="str">
        <f aca="false">IF($M10="","",IF($M10&gt;=16,"Critique",IF($M10&gt;=9,"Élevé",IF($M10&gt;=5,"Moyen","Faible"))))</f>
        <v/>
      </c>
      <c r="O10" s="15" t="str">
        <f aca="false">IF($M10="","",IF($M10&gt;=9,"OUI",""))</f>
        <v/>
      </c>
      <c r="P10" s="16"/>
      <c r="Q10" s="15"/>
      <c r="R10" s="15"/>
      <c r="T10" s="19" t="n">
        <f aca="false">IFERROR(ROUND(VALUE(LEFT(F10,1))*VALUE(LEFT(G10,1))*IFERROR(VLOOKUP($K10,Listes!$E$2:$F$5,2,FALSE()),1),0),0)</f>
        <v>0</v>
      </c>
    </row>
    <row r="11" customFormat="false" ht="15" hidden="false" customHeight="false" outlineLevel="0" collapsed="false">
      <c r="A11" s="15"/>
      <c r="B11" s="16"/>
      <c r="C11" s="16"/>
      <c r="D11" s="17"/>
      <c r="E11" s="17"/>
      <c r="F11" s="15"/>
      <c r="G11" s="15"/>
      <c r="H11" s="18" t="str">
        <f aca="false">IFERROR(VALUE(LEFT(F11,1))*VALUE(LEFT(G11,1)),"")</f>
        <v/>
      </c>
      <c r="I11" s="15" t="str">
        <f aca="false">IF($H11="","",IF($H11&gt;=16,"Critique",IF($H11&gt;=9,"Élevé",IF($H11&gt;=5,"Moyen","Faible"))))</f>
        <v/>
      </c>
      <c r="J11" s="17"/>
      <c r="K11" s="15"/>
      <c r="L11" s="17"/>
      <c r="M11" s="18" t="str">
        <f aca="false">IF($H11="","",ROUND($H11*IFERROR(VLOOKUP($K11,Listes!$E$2:$F$5,2,FALSE()),1),0))</f>
        <v/>
      </c>
      <c r="N11" s="15" t="str">
        <f aca="false">IF($M11="","",IF($M11&gt;=16,"Critique",IF($M11&gt;=9,"Élevé",IF($M11&gt;=5,"Moyen","Faible"))))</f>
        <v/>
      </c>
      <c r="O11" s="15" t="str">
        <f aca="false">IF($M11="","",IF($M11&gt;=9,"OUI",""))</f>
        <v/>
      </c>
      <c r="P11" s="16"/>
      <c r="Q11" s="15"/>
      <c r="R11" s="15"/>
      <c r="T11" s="19" t="n">
        <f aca="false">IFERROR(ROUND(VALUE(LEFT(F11,1))*VALUE(LEFT(G11,1))*IFERROR(VLOOKUP($K11,Listes!$E$2:$F$5,2,FALSE()),1),0),0)</f>
        <v>0</v>
      </c>
    </row>
    <row r="12" customFormat="false" ht="15" hidden="false" customHeight="false" outlineLevel="0" collapsed="false">
      <c r="A12" s="15"/>
      <c r="B12" s="16"/>
      <c r="C12" s="16"/>
      <c r="D12" s="17"/>
      <c r="E12" s="17"/>
      <c r="F12" s="15"/>
      <c r="G12" s="15"/>
      <c r="H12" s="18" t="str">
        <f aca="false">IFERROR(VALUE(LEFT(F12,1))*VALUE(LEFT(G12,1)),"")</f>
        <v/>
      </c>
      <c r="I12" s="15" t="str">
        <f aca="false">IF($H12="","",IF($H12&gt;=16,"Critique",IF($H12&gt;=9,"Élevé",IF($H12&gt;=5,"Moyen","Faible"))))</f>
        <v/>
      </c>
      <c r="J12" s="17"/>
      <c r="K12" s="15"/>
      <c r="L12" s="17"/>
      <c r="M12" s="18" t="str">
        <f aca="false">IF($H12="","",ROUND($H12*IFERROR(VLOOKUP($K12,Listes!$E$2:$F$5,2,FALSE()),1),0))</f>
        <v/>
      </c>
      <c r="N12" s="15" t="str">
        <f aca="false">IF($M12="","",IF($M12&gt;=16,"Critique",IF($M12&gt;=9,"Élevé",IF($M12&gt;=5,"Moyen","Faible"))))</f>
        <v/>
      </c>
      <c r="O12" s="15" t="str">
        <f aca="false">IF($M12="","",IF($M12&gt;=9,"OUI",""))</f>
        <v/>
      </c>
      <c r="P12" s="16"/>
      <c r="Q12" s="15"/>
      <c r="R12" s="15"/>
      <c r="T12" s="19" t="n">
        <f aca="false">IFERROR(ROUND(VALUE(LEFT(F12,1))*VALUE(LEFT(G12,1))*IFERROR(VLOOKUP($K12,Listes!$E$2:$F$5,2,FALSE()),1),0),0)</f>
        <v>0</v>
      </c>
    </row>
    <row r="13" customFormat="false" ht="15" hidden="false" customHeight="false" outlineLevel="0" collapsed="false">
      <c r="A13" s="15"/>
      <c r="B13" s="16"/>
      <c r="C13" s="16"/>
      <c r="D13" s="17"/>
      <c r="E13" s="17"/>
      <c r="F13" s="15"/>
      <c r="G13" s="15"/>
      <c r="H13" s="18" t="str">
        <f aca="false">IFERROR(VALUE(LEFT(F13,1))*VALUE(LEFT(G13,1)),"")</f>
        <v/>
      </c>
      <c r="I13" s="15" t="str">
        <f aca="false">IF($H13="","",IF($H13&gt;=16,"Critique",IF($H13&gt;=9,"Élevé",IF($H13&gt;=5,"Moyen","Faible"))))</f>
        <v/>
      </c>
      <c r="J13" s="17"/>
      <c r="K13" s="15"/>
      <c r="L13" s="17"/>
      <c r="M13" s="18" t="str">
        <f aca="false">IF($H13="","",ROUND($H13*IFERROR(VLOOKUP($K13,Listes!$E$2:$F$5,2,FALSE()),1),0))</f>
        <v/>
      </c>
      <c r="N13" s="15" t="str">
        <f aca="false">IF($M13="","",IF($M13&gt;=16,"Critique",IF($M13&gt;=9,"Élevé",IF($M13&gt;=5,"Moyen","Faible"))))</f>
        <v/>
      </c>
      <c r="O13" s="15" t="str">
        <f aca="false">IF($M13="","",IF($M13&gt;=9,"OUI",""))</f>
        <v/>
      </c>
      <c r="P13" s="16"/>
      <c r="Q13" s="15"/>
      <c r="R13" s="15"/>
      <c r="T13" s="19" t="n">
        <f aca="false">IFERROR(ROUND(VALUE(LEFT(F13,1))*VALUE(LEFT(G13,1))*IFERROR(VLOOKUP($K13,Listes!$E$2:$F$5,2,FALSE()),1),0),0)</f>
        <v>0</v>
      </c>
    </row>
    <row r="14" customFormat="false" ht="15" hidden="false" customHeight="false" outlineLevel="0" collapsed="false">
      <c r="A14" s="15"/>
      <c r="B14" s="16"/>
      <c r="C14" s="16"/>
      <c r="D14" s="17"/>
      <c r="E14" s="17"/>
      <c r="F14" s="15"/>
      <c r="G14" s="15"/>
      <c r="H14" s="18" t="str">
        <f aca="false">IFERROR(VALUE(LEFT(F14,1))*VALUE(LEFT(G14,1)),"")</f>
        <v/>
      </c>
      <c r="I14" s="15" t="str">
        <f aca="false">IF($H14="","",IF($H14&gt;=16,"Critique",IF($H14&gt;=9,"Élevé",IF($H14&gt;=5,"Moyen","Faible"))))</f>
        <v/>
      </c>
      <c r="J14" s="17"/>
      <c r="K14" s="15"/>
      <c r="L14" s="17"/>
      <c r="M14" s="18" t="str">
        <f aca="false">IF($H14="","",ROUND($H14*IFERROR(VLOOKUP($K14,Listes!$E$2:$F$5,2,FALSE()),1),0))</f>
        <v/>
      </c>
      <c r="N14" s="15" t="str">
        <f aca="false">IF($M14="","",IF($M14&gt;=16,"Critique",IF($M14&gt;=9,"Élevé",IF($M14&gt;=5,"Moyen","Faible"))))</f>
        <v/>
      </c>
      <c r="O14" s="15" t="str">
        <f aca="false">IF($M14="","",IF($M14&gt;=9,"OUI",""))</f>
        <v/>
      </c>
      <c r="P14" s="16"/>
      <c r="Q14" s="15"/>
      <c r="R14" s="15"/>
      <c r="T14" s="19" t="n">
        <f aca="false">IFERROR(ROUND(VALUE(LEFT(F14,1))*VALUE(LEFT(G14,1))*IFERROR(VLOOKUP($K14,Listes!$E$2:$F$5,2,FALSE()),1),0),0)</f>
        <v>0</v>
      </c>
    </row>
    <row r="15" customFormat="false" ht="15" hidden="false" customHeight="false" outlineLevel="0" collapsed="false">
      <c r="A15" s="15"/>
      <c r="B15" s="16"/>
      <c r="C15" s="16"/>
      <c r="D15" s="17"/>
      <c r="E15" s="17"/>
      <c r="F15" s="15"/>
      <c r="G15" s="15"/>
      <c r="H15" s="18" t="str">
        <f aca="false">IFERROR(VALUE(LEFT(F15,1))*VALUE(LEFT(G15,1)),"")</f>
        <v/>
      </c>
      <c r="I15" s="15" t="str">
        <f aca="false">IF($H15="","",IF($H15&gt;=16,"Critique",IF($H15&gt;=9,"Élevé",IF($H15&gt;=5,"Moyen","Faible"))))</f>
        <v/>
      </c>
      <c r="J15" s="17"/>
      <c r="K15" s="15"/>
      <c r="L15" s="17"/>
      <c r="M15" s="18" t="str">
        <f aca="false">IF($H15="","",ROUND($H15*IFERROR(VLOOKUP($K15,Listes!$E$2:$F$5,2,FALSE()),1),0))</f>
        <v/>
      </c>
      <c r="N15" s="15" t="str">
        <f aca="false">IF($M15="","",IF($M15&gt;=16,"Critique",IF($M15&gt;=9,"Élevé",IF($M15&gt;=5,"Moyen","Faible"))))</f>
        <v/>
      </c>
      <c r="O15" s="15" t="str">
        <f aca="false">IF($M15="","",IF($M15&gt;=9,"OUI",""))</f>
        <v/>
      </c>
      <c r="P15" s="16"/>
      <c r="Q15" s="15"/>
      <c r="R15" s="15"/>
      <c r="T15" s="19" t="n">
        <f aca="false">IFERROR(ROUND(VALUE(LEFT(F15,1))*VALUE(LEFT(G15,1))*IFERROR(VLOOKUP($K15,Listes!$E$2:$F$5,2,FALSE()),1),0),0)</f>
        <v>0</v>
      </c>
    </row>
    <row r="16" customFormat="false" ht="15" hidden="false" customHeight="false" outlineLevel="0" collapsed="false">
      <c r="A16" s="15"/>
      <c r="B16" s="16"/>
      <c r="C16" s="16"/>
      <c r="D16" s="17"/>
      <c r="E16" s="17"/>
      <c r="F16" s="15"/>
      <c r="G16" s="15"/>
      <c r="H16" s="18" t="str">
        <f aca="false">IFERROR(VALUE(LEFT(F16,1))*VALUE(LEFT(G16,1)),"")</f>
        <v/>
      </c>
      <c r="I16" s="15" t="str">
        <f aca="false">IF($H16="","",IF($H16&gt;=16,"Critique",IF($H16&gt;=9,"Élevé",IF($H16&gt;=5,"Moyen","Faible"))))</f>
        <v/>
      </c>
      <c r="J16" s="17"/>
      <c r="K16" s="15"/>
      <c r="L16" s="17"/>
      <c r="M16" s="18" t="str">
        <f aca="false">IF($H16="","",ROUND($H16*IFERROR(VLOOKUP($K16,Listes!$E$2:$F$5,2,FALSE()),1),0))</f>
        <v/>
      </c>
      <c r="N16" s="15" t="str">
        <f aca="false">IF($M16="","",IF($M16&gt;=16,"Critique",IF($M16&gt;=9,"Élevé",IF($M16&gt;=5,"Moyen","Faible"))))</f>
        <v/>
      </c>
      <c r="O16" s="15" t="str">
        <f aca="false">IF($M16="","",IF($M16&gt;=9,"OUI",""))</f>
        <v/>
      </c>
      <c r="P16" s="16"/>
      <c r="Q16" s="15"/>
      <c r="R16" s="15"/>
      <c r="T16" s="19" t="n">
        <f aca="false">IFERROR(ROUND(VALUE(LEFT(F16,1))*VALUE(LEFT(G16,1))*IFERROR(VLOOKUP($K16,Listes!$E$2:$F$5,2,FALSE()),1),0),0)</f>
        <v>0</v>
      </c>
    </row>
    <row r="17" customFormat="false" ht="15" hidden="false" customHeight="false" outlineLevel="0" collapsed="false">
      <c r="A17" s="15"/>
      <c r="B17" s="16"/>
      <c r="C17" s="16"/>
      <c r="D17" s="17"/>
      <c r="E17" s="17"/>
      <c r="F17" s="15"/>
      <c r="G17" s="15"/>
      <c r="H17" s="18" t="str">
        <f aca="false">IFERROR(VALUE(LEFT(F17,1))*VALUE(LEFT(G17,1)),"")</f>
        <v/>
      </c>
      <c r="I17" s="15" t="str">
        <f aca="false">IF($H17="","",IF($H17&gt;=16,"Critique",IF($H17&gt;=9,"Élevé",IF($H17&gt;=5,"Moyen","Faible"))))</f>
        <v/>
      </c>
      <c r="J17" s="17"/>
      <c r="K17" s="15"/>
      <c r="L17" s="17"/>
      <c r="M17" s="18" t="str">
        <f aca="false">IF($H17="","",ROUND($H17*IFERROR(VLOOKUP($K17,Listes!$E$2:$F$5,2,FALSE()),1),0))</f>
        <v/>
      </c>
      <c r="N17" s="15" t="str">
        <f aca="false">IF($M17="","",IF($M17&gt;=16,"Critique",IF($M17&gt;=9,"Élevé",IF($M17&gt;=5,"Moyen","Faible"))))</f>
        <v/>
      </c>
      <c r="O17" s="15" t="str">
        <f aca="false">IF($M17="","",IF($M17&gt;=9,"OUI",""))</f>
        <v/>
      </c>
      <c r="P17" s="16"/>
      <c r="Q17" s="15"/>
      <c r="R17" s="15"/>
      <c r="T17" s="19" t="n">
        <f aca="false">IFERROR(ROUND(VALUE(LEFT(F17,1))*VALUE(LEFT(G17,1))*IFERROR(VLOOKUP($K17,Listes!$E$2:$F$5,2,FALSE()),1),0),0)</f>
        <v>0</v>
      </c>
    </row>
    <row r="18" customFormat="false" ht="15" hidden="false" customHeight="false" outlineLevel="0" collapsed="false">
      <c r="A18" s="15"/>
      <c r="B18" s="16"/>
      <c r="C18" s="16"/>
      <c r="D18" s="17"/>
      <c r="E18" s="17"/>
      <c r="F18" s="15"/>
      <c r="G18" s="15"/>
      <c r="H18" s="18" t="str">
        <f aca="false">IFERROR(VALUE(LEFT(F18,1))*VALUE(LEFT(G18,1)),"")</f>
        <v/>
      </c>
      <c r="I18" s="15" t="str">
        <f aca="false">IF($H18="","",IF($H18&gt;=16,"Critique",IF($H18&gt;=9,"Élevé",IF($H18&gt;=5,"Moyen","Faible"))))</f>
        <v/>
      </c>
      <c r="J18" s="17"/>
      <c r="K18" s="15"/>
      <c r="L18" s="17"/>
      <c r="M18" s="18" t="str">
        <f aca="false">IF($H18="","",ROUND($H18*IFERROR(VLOOKUP($K18,Listes!$E$2:$F$5,2,FALSE()),1),0))</f>
        <v/>
      </c>
      <c r="N18" s="15" t="str">
        <f aca="false">IF($M18="","",IF($M18&gt;=16,"Critique",IF($M18&gt;=9,"Élevé",IF($M18&gt;=5,"Moyen","Faible"))))</f>
        <v/>
      </c>
      <c r="O18" s="15" t="str">
        <f aca="false">IF($M18="","",IF($M18&gt;=9,"OUI",""))</f>
        <v/>
      </c>
      <c r="P18" s="16"/>
      <c r="Q18" s="15"/>
      <c r="R18" s="15"/>
      <c r="T18" s="19" t="n">
        <f aca="false">IFERROR(ROUND(VALUE(LEFT(F18,1))*VALUE(LEFT(G18,1))*IFERROR(VLOOKUP($K18,Listes!$E$2:$F$5,2,FALSE()),1),0),0)</f>
        <v>0</v>
      </c>
    </row>
    <row r="19" customFormat="false" ht="15" hidden="false" customHeight="false" outlineLevel="0" collapsed="false">
      <c r="A19" s="15"/>
      <c r="B19" s="16"/>
      <c r="C19" s="16"/>
      <c r="D19" s="17"/>
      <c r="E19" s="17"/>
      <c r="F19" s="15"/>
      <c r="G19" s="15"/>
      <c r="H19" s="18" t="str">
        <f aca="false">IFERROR(VALUE(LEFT(F19,1))*VALUE(LEFT(G19,1)),"")</f>
        <v/>
      </c>
      <c r="I19" s="15" t="str">
        <f aca="false">IF($H19="","",IF($H19&gt;=16,"Critique",IF($H19&gt;=9,"Élevé",IF($H19&gt;=5,"Moyen","Faible"))))</f>
        <v/>
      </c>
      <c r="J19" s="17"/>
      <c r="K19" s="15"/>
      <c r="L19" s="17"/>
      <c r="M19" s="18" t="str">
        <f aca="false">IF($H19="","",ROUND($H19*IFERROR(VLOOKUP($K19,Listes!$E$2:$F$5,2,FALSE()),1),0))</f>
        <v/>
      </c>
      <c r="N19" s="15" t="str">
        <f aca="false">IF($M19="","",IF($M19&gt;=16,"Critique",IF($M19&gt;=9,"Élevé",IF($M19&gt;=5,"Moyen","Faible"))))</f>
        <v/>
      </c>
      <c r="O19" s="15" t="str">
        <f aca="false">IF($M19="","",IF($M19&gt;=9,"OUI",""))</f>
        <v/>
      </c>
      <c r="P19" s="16"/>
      <c r="Q19" s="15"/>
      <c r="R19" s="15"/>
      <c r="T19" s="19" t="n">
        <f aca="false">IFERROR(ROUND(VALUE(LEFT(F19,1))*VALUE(LEFT(G19,1))*IFERROR(VLOOKUP($K19,Listes!$E$2:$F$5,2,FALSE()),1),0),0)</f>
        <v>0</v>
      </c>
    </row>
    <row r="20" customFormat="false" ht="15" hidden="false" customHeight="false" outlineLevel="0" collapsed="false">
      <c r="A20" s="15"/>
      <c r="B20" s="16"/>
      <c r="C20" s="16"/>
      <c r="D20" s="17"/>
      <c r="E20" s="17"/>
      <c r="F20" s="15"/>
      <c r="G20" s="15"/>
      <c r="H20" s="18" t="str">
        <f aca="false">IFERROR(VALUE(LEFT(F20,1))*VALUE(LEFT(G20,1)),"")</f>
        <v/>
      </c>
      <c r="I20" s="15" t="str">
        <f aca="false">IF($H20="","",IF($H20&gt;=16,"Critique",IF($H20&gt;=9,"Élevé",IF($H20&gt;=5,"Moyen","Faible"))))</f>
        <v/>
      </c>
      <c r="J20" s="17"/>
      <c r="K20" s="15"/>
      <c r="L20" s="17"/>
      <c r="M20" s="18" t="str">
        <f aca="false">IF($H20="","",ROUND($H20*IFERROR(VLOOKUP($K20,Listes!$E$2:$F$5,2,FALSE()),1),0))</f>
        <v/>
      </c>
      <c r="N20" s="15" t="str">
        <f aca="false">IF($M20="","",IF($M20&gt;=16,"Critique",IF($M20&gt;=9,"Élevé",IF($M20&gt;=5,"Moyen","Faible"))))</f>
        <v/>
      </c>
      <c r="O20" s="15" t="str">
        <f aca="false">IF($M20="","",IF($M20&gt;=9,"OUI",""))</f>
        <v/>
      </c>
      <c r="P20" s="16"/>
      <c r="Q20" s="15"/>
      <c r="R20" s="15"/>
      <c r="T20" s="19" t="n">
        <f aca="false">IFERROR(ROUND(VALUE(LEFT(F20,1))*VALUE(LEFT(G20,1))*IFERROR(VLOOKUP($K20,Listes!$E$2:$F$5,2,FALSE()),1),0),0)</f>
        <v>0</v>
      </c>
    </row>
    <row r="21" customFormat="false" ht="15" hidden="false" customHeight="false" outlineLevel="0" collapsed="false">
      <c r="A21" s="15"/>
      <c r="B21" s="16"/>
      <c r="C21" s="16"/>
      <c r="D21" s="17"/>
      <c r="E21" s="17"/>
      <c r="F21" s="15"/>
      <c r="G21" s="15"/>
      <c r="H21" s="18" t="str">
        <f aca="false">IFERROR(VALUE(LEFT(F21,1))*VALUE(LEFT(G21,1)),"")</f>
        <v/>
      </c>
      <c r="I21" s="15" t="str">
        <f aca="false">IF($H21="","",IF($H21&gt;=16,"Critique",IF($H21&gt;=9,"Élevé",IF($H21&gt;=5,"Moyen","Faible"))))</f>
        <v/>
      </c>
      <c r="J21" s="17"/>
      <c r="K21" s="15"/>
      <c r="L21" s="17"/>
      <c r="M21" s="18" t="str">
        <f aca="false">IF($H21="","",ROUND($H21*IFERROR(VLOOKUP($K21,Listes!$E$2:$F$5,2,FALSE()),1),0))</f>
        <v/>
      </c>
      <c r="N21" s="15" t="str">
        <f aca="false">IF($M21="","",IF($M21&gt;=16,"Critique",IF($M21&gt;=9,"Élevé",IF($M21&gt;=5,"Moyen","Faible"))))</f>
        <v/>
      </c>
      <c r="O21" s="15" t="str">
        <f aca="false">IF($M21="","",IF($M21&gt;=9,"OUI",""))</f>
        <v/>
      </c>
      <c r="P21" s="16"/>
      <c r="Q21" s="15"/>
      <c r="R21" s="15"/>
      <c r="T21" s="19" t="n">
        <f aca="false">IFERROR(ROUND(VALUE(LEFT(F21,1))*VALUE(LEFT(G21,1))*IFERROR(VLOOKUP($K21,Listes!$E$2:$F$5,2,FALSE()),1),0),0)</f>
        <v>0</v>
      </c>
    </row>
    <row r="22" customFormat="false" ht="15" hidden="false" customHeight="false" outlineLevel="0" collapsed="false">
      <c r="A22" s="15"/>
      <c r="B22" s="16"/>
      <c r="C22" s="16"/>
      <c r="D22" s="17"/>
      <c r="E22" s="17"/>
      <c r="F22" s="15"/>
      <c r="G22" s="15"/>
      <c r="H22" s="18" t="str">
        <f aca="false">IFERROR(VALUE(LEFT(F22,1))*VALUE(LEFT(G22,1)),"")</f>
        <v/>
      </c>
      <c r="I22" s="15" t="str">
        <f aca="false">IF($H22="","",IF($H22&gt;=16,"Critique",IF($H22&gt;=9,"Élevé",IF($H22&gt;=5,"Moyen","Faible"))))</f>
        <v/>
      </c>
      <c r="J22" s="17"/>
      <c r="K22" s="15"/>
      <c r="L22" s="17"/>
      <c r="M22" s="18" t="str">
        <f aca="false">IF($H22="","",ROUND($H22*IFERROR(VLOOKUP($K22,Listes!$E$2:$F$5,2,FALSE()),1),0))</f>
        <v/>
      </c>
      <c r="N22" s="15" t="str">
        <f aca="false">IF($M22="","",IF($M22&gt;=16,"Critique",IF($M22&gt;=9,"Élevé",IF($M22&gt;=5,"Moyen","Faible"))))</f>
        <v/>
      </c>
      <c r="O22" s="15" t="str">
        <f aca="false">IF($M22="","",IF($M22&gt;=9,"OUI",""))</f>
        <v/>
      </c>
      <c r="P22" s="16"/>
      <c r="Q22" s="15"/>
      <c r="R22" s="15"/>
      <c r="T22" s="19" t="n">
        <f aca="false">IFERROR(ROUND(VALUE(LEFT(F22,1))*VALUE(LEFT(G22,1))*IFERROR(VLOOKUP($K22,Listes!$E$2:$F$5,2,FALSE()),1),0),0)</f>
        <v>0</v>
      </c>
    </row>
    <row r="23" customFormat="false" ht="15" hidden="false" customHeight="false" outlineLevel="0" collapsed="false">
      <c r="A23" s="15"/>
      <c r="B23" s="16"/>
      <c r="C23" s="16"/>
      <c r="D23" s="17"/>
      <c r="E23" s="17"/>
      <c r="F23" s="15"/>
      <c r="G23" s="15"/>
      <c r="H23" s="18" t="str">
        <f aca="false">IFERROR(VALUE(LEFT(F23,1))*VALUE(LEFT(G23,1)),"")</f>
        <v/>
      </c>
      <c r="I23" s="15" t="str">
        <f aca="false">IF($H23="","",IF($H23&gt;=16,"Critique",IF($H23&gt;=9,"Élevé",IF($H23&gt;=5,"Moyen","Faible"))))</f>
        <v/>
      </c>
      <c r="J23" s="17"/>
      <c r="K23" s="15"/>
      <c r="L23" s="17"/>
      <c r="M23" s="18" t="str">
        <f aca="false">IF($H23="","",ROUND($H23*IFERROR(VLOOKUP($K23,Listes!$E$2:$F$5,2,FALSE()),1),0))</f>
        <v/>
      </c>
      <c r="N23" s="15" t="str">
        <f aca="false">IF($M23="","",IF($M23&gt;=16,"Critique",IF($M23&gt;=9,"Élevé",IF($M23&gt;=5,"Moyen","Faible"))))</f>
        <v/>
      </c>
      <c r="O23" s="15" t="str">
        <f aca="false">IF($M23="","",IF($M23&gt;=9,"OUI",""))</f>
        <v/>
      </c>
      <c r="P23" s="16"/>
      <c r="Q23" s="15"/>
      <c r="R23" s="15"/>
      <c r="T23" s="19" t="n">
        <f aca="false">IFERROR(ROUND(VALUE(LEFT(F23,1))*VALUE(LEFT(G23,1))*IFERROR(VLOOKUP($K23,Listes!$E$2:$F$5,2,FALSE()),1),0),0)</f>
        <v>0</v>
      </c>
    </row>
    <row r="24" customFormat="false" ht="15" hidden="false" customHeight="false" outlineLevel="0" collapsed="false">
      <c r="A24" s="15"/>
      <c r="B24" s="16"/>
      <c r="C24" s="16"/>
      <c r="D24" s="17"/>
      <c r="E24" s="17"/>
      <c r="F24" s="15"/>
      <c r="G24" s="15"/>
      <c r="H24" s="18" t="str">
        <f aca="false">IFERROR(VALUE(LEFT(F24,1))*VALUE(LEFT(G24,1)),"")</f>
        <v/>
      </c>
      <c r="I24" s="15" t="str">
        <f aca="false">IF($H24="","",IF($H24&gt;=16,"Critique",IF($H24&gt;=9,"Élevé",IF($H24&gt;=5,"Moyen","Faible"))))</f>
        <v/>
      </c>
      <c r="J24" s="17"/>
      <c r="K24" s="15"/>
      <c r="L24" s="17"/>
      <c r="M24" s="18" t="str">
        <f aca="false">IF($H24="","",ROUND($H24*IFERROR(VLOOKUP($K24,Listes!$E$2:$F$5,2,FALSE()),1),0))</f>
        <v/>
      </c>
      <c r="N24" s="15" t="str">
        <f aca="false">IF($M24="","",IF($M24&gt;=16,"Critique",IF($M24&gt;=9,"Élevé",IF($M24&gt;=5,"Moyen","Faible"))))</f>
        <v/>
      </c>
      <c r="O24" s="15" t="str">
        <f aca="false">IF($M24="","",IF($M24&gt;=9,"OUI",""))</f>
        <v/>
      </c>
      <c r="P24" s="16"/>
      <c r="Q24" s="15"/>
      <c r="R24" s="15"/>
      <c r="T24" s="19" t="n">
        <f aca="false">IFERROR(ROUND(VALUE(LEFT(F24,1))*VALUE(LEFT(G24,1))*IFERROR(VLOOKUP($K24,Listes!$E$2:$F$5,2,FALSE()),1),0),0)</f>
        <v>0</v>
      </c>
    </row>
    <row r="25" customFormat="false" ht="15" hidden="false" customHeight="false" outlineLevel="0" collapsed="false">
      <c r="A25" s="15"/>
      <c r="B25" s="16"/>
      <c r="C25" s="16"/>
      <c r="D25" s="17"/>
      <c r="E25" s="17"/>
      <c r="F25" s="15"/>
      <c r="G25" s="15"/>
      <c r="H25" s="18" t="str">
        <f aca="false">IFERROR(VALUE(LEFT(F25,1))*VALUE(LEFT(G25,1)),"")</f>
        <v/>
      </c>
      <c r="I25" s="15" t="str">
        <f aca="false">IF($H25="","",IF($H25&gt;=16,"Critique",IF($H25&gt;=9,"Élevé",IF($H25&gt;=5,"Moyen","Faible"))))</f>
        <v/>
      </c>
      <c r="J25" s="17"/>
      <c r="K25" s="15"/>
      <c r="L25" s="17"/>
      <c r="M25" s="18" t="str">
        <f aca="false">IF($H25="","",ROUND($H25*IFERROR(VLOOKUP($K25,Listes!$E$2:$F$5,2,FALSE()),1),0))</f>
        <v/>
      </c>
      <c r="N25" s="15" t="str">
        <f aca="false">IF($M25="","",IF($M25&gt;=16,"Critique",IF($M25&gt;=9,"Élevé",IF($M25&gt;=5,"Moyen","Faible"))))</f>
        <v/>
      </c>
      <c r="O25" s="15" t="str">
        <f aca="false">IF($M25="","",IF($M25&gt;=9,"OUI",""))</f>
        <v/>
      </c>
      <c r="P25" s="16"/>
      <c r="Q25" s="15"/>
      <c r="R25" s="15"/>
      <c r="T25" s="19" t="n">
        <f aca="false">IFERROR(ROUND(VALUE(LEFT(F25,1))*VALUE(LEFT(G25,1))*IFERROR(VLOOKUP($K25,Listes!$E$2:$F$5,2,FALSE()),1),0),0)</f>
        <v>0</v>
      </c>
    </row>
    <row r="26" customFormat="false" ht="15" hidden="false" customHeight="false" outlineLevel="0" collapsed="false">
      <c r="A26" s="15"/>
      <c r="B26" s="16"/>
      <c r="C26" s="16"/>
      <c r="D26" s="17"/>
      <c r="E26" s="17"/>
      <c r="F26" s="15"/>
      <c r="G26" s="15"/>
      <c r="H26" s="18" t="str">
        <f aca="false">IFERROR(VALUE(LEFT(F26,1))*VALUE(LEFT(G26,1)),"")</f>
        <v/>
      </c>
      <c r="I26" s="15" t="str">
        <f aca="false">IF($H26="","",IF($H26&gt;=16,"Critique",IF($H26&gt;=9,"Élevé",IF($H26&gt;=5,"Moyen","Faible"))))</f>
        <v/>
      </c>
      <c r="J26" s="17"/>
      <c r="K26" s="15"/>
      <c r="L26" s="17"/>
      <c r="M26" s="18" t="str">
        <f aca="false">IF($H26="","",ROUND($H26*IFERROR(VLOOKUP($K26,Listes!$E$2:$F$5,2,FALSE()),1),0))</f>
        <v/>
      </c>
      <c r="N26" s="15" t="str">
        <f aca="false">IF($M26="","",IF($M26&gt;=16,"Critique",IF($M26&gt;=9,"Élevé",IF($M26&gt;=5,"Moyen","Faible"))))</f>
        <v/>
      </c>
      <c r="O26" s="15" t="str">
        <f aca="false">IF($M26="","",IF($M26&gt;=9,"OUI",""))</f>
        <v/>
      </c>
      <c r="P26" s="16"/>
      <c r="Q26" s="15"/>
      <c r="R26" s="15"/>
      <c r="T26" s="19" t="n">
        <f aca="false">IFERROR(ROUND(VALUE(LEFT(F26,1))*VALUE(LEFT(G26,1))*IFERROR(VLOOKUP($K26,Listes!$E$2:$F$5,2,FALSE()),1),0),0)</f>
        <v>0</v>
      </c>
    </row>
    <row r="27" customFormat="false" ht="15" hidden="false" customHeight="false" outlineLevel="0" collapsed="false">
      <c r="A27" s="15"/>
      <c r="B27" s="16"/>
      <c r="C27" s="16"/>
      <c r="D27" s="17"/>
      <c r="E27" s="17"/>
      <c r="F27" s="15"/>
      <c r="G27" s="15"/>
      <c r="H27" s="18" t="str">
        <f aca="false">IFERROR(VALUE(LEFT(F27,1))*VALUE(LEFT(G27,1)),"")</f>
        <v/>
      </c>
      <c r="I27" s="15" t="str">
        <f aca="false">IF($H27="","",IF($H27&gt;=16,"Critique",IF($H27&gt;=9,"Élevé",IF($H27&gt;=5,"Moyen","Faible"))))</f>
        <v/>
      </c>
      <c r="J27" s="17"/>
      <c r="K27" s="15"/>
      <c r="L27" s="17"/>
      <c r="M27" s="18" t="str">
        <f aca="false">IF($H27="","",ROUND($H27*IFERROR(VLOOKUP($K27,Listes!$E$2:$F$5,2,FALSE()),1),0))</f>
        <v/>
      </c>
      <c r="N27" s="15" t="str">
        <f aca="false">IF($M27="","",IF($M27&gt;=16,"Critique",IF($M27&gt;=9,"Élevé",IF($M27&gt;=5,"Moyen","Faible"))))</f>
        <v/>
      </c>
      <c r="O27" s="15" t="str">
        <f aca="false">IF($M27="","",IF($M27&gt;=9,"OUI",""))</f>
        <v/>
      </c>
      <c r="P27" s="16"/>
      <c r="Q27" s="15"/>
      <c r="R27" s="15"/>
      <c r="T27" s="19" t="n">
        <f aca="false">IFERROR(ROUND(VALUE(LEFT(F27,1))*VALUE(LEFT(G27,1))*IFERROR(VLOOKUP($K27,Listes!$E$2:$F$5,2,FALSE()),1),0),0)</f>
        <v>0</v>
      </c>
    </row>
    <row r="28" customFormat="false" ht="15" hidden="false" customHeight="false" outlineLevel="0" collapsed="false">
      <c r="A28" s="15"/>
      <c r="B28" s="16"/>
      <c r="C28" s="16"/>
      <c r="D28" s="17"/>
      <c r="E28" s="17"/>
      <c r="F28" s="15"/>
      <c r="G28" s="15"/>
      <c r="H28" s="18" t="str">
        <f aca="false">IFERROR(VALUE(LEFT(F28,1))*VALUE(LEFT(G28,1)),"")</f>
        <v/>
      </c>
      <c r="I28" s="15" t="str">
        <f aca="false">IF($H28="","",IF($H28&gt;=16,"Critique",IF($H28&gt;=9,"Élevé",IF($H28&gt;=5,"Moyen","Faible"))))</f>
        <v/>
      </c>
      <c r="J28" s="17"/>
      <c r="K28" s="15"/>
      <c r="L28" s="17"/>
      <c r="M28" s="18" t="str">
        <f aca="false">IF($H28="","",ROUND($H28*IFERROR(VLOOKUP($K28,Listes!$E$2:$F$5,2,FALSE()),1),0))</f>
        <v/>
      </c>
      <c r="N28" s="15" t="str">
        <f aca="false">IF($M28="","",IF($M28&gt;=16,"Critique",IF($M28&gt;=9,"Élevé",IF($M28&gt;=5,"Moyen","Faible"))))</f>
        <v/>
      </c>
      <c r="O28" s="15" t="str">
        <f aca="false">IF($M28="","",IF($M28&gt;=9,"OUI",""))</f>
        <v/>
      </c>
      <c r="P28" s="16"/>
      <c r="Q28" s="15"/>
      <c r="R28" s="15"/>
      <c r="T28" s="19" t="n">
        <f aca="false">IFERROR(ROUND(VALUE(LEFT(F28,1))*VALUE(LEFT(G28,1))*IFERROR(VLOOKUP($K28,Listes!$E$2:$F$5,2,FALSE()),1),0),0)</f>
        <v>0</v>
      </c>
    </row>
    <row r="29" customFormat="false" ht="15" hidden="false" customHeight="false" outlineLevel="0" collapsed="false">
      <c r="A29" s="15"/>
      <c r="B29" s="16"/>
      <c r="C29" s="16"/>
      <c r="D29" s="17"/>
      <c r="E29" s="17"/>
      <c r="F29" s="15"/>
      <c r="G29" s="15"/>
      <c r="H29" s="18" t="str">
        <f aca="false">IFERROR(VALUE(LEFT(F29,1))*VALUE(LEFT(G29,1)),"")</f>
        <v/>
      </c>
      <c r="I29" s="15" t="str">
        <f aca="false">IF($H29="","",IF($H29&gt;=16,"Critique",IF($H29&gt;=9,"Élevé",IF($H29&gt;=5,"Moyen","Faible"))))</f>
        <v/>
      </c>
      <c r="J29" s="17"/>
      <c r="K29" s="15"/>
      <c r="L29" s="17"/>
      <c r="M29" s="18" t="str">
        <f aca="false">IF($H29="","",ROUND($H29*IFERROR(VLOOKUP($K29,Listes!$E$2:$F$5,2,FALSE()),1),0))</f>
        <v/>
      </c>
      <c r="N29" s="15" t="str">
        <f aca="false">IF($M29="","",IF($M29&gt;=16,"Critique",IF($M29&gt;=9,"Élevé",IF($M29&gt;=5,"Moyen","Faible"))))</f>
        <v/>
      </c>
      <c r="O29" s="15" t="str">
        <f aca="false">IF($M29="","",IF($M29&gt;=9,"OUI",""))</f>
        <v/>
      </c>
      <c r="P29" s="16"/>
      <c r="Q29" s="15"/>
      <c r="R29" s="15"/>
      <c r="T29" s="19" t="n">
        <f aca="false">IFERROR(ROUND(VALUE(LEFT(F29,1))*VALUE(LEFT(G29,1))*IFERROR(VLOOKUP($K29,Listes!$E$2:$F$5,2,FALSE()),1),0),0)</f>
        <v>0</v>
      </c>
    </row>
    <row r="30" customFormat="false" ht="15" hidden="false" customHeight="false" outlineLevel="0" collapsed="false">
      <c r="A30" s="15"/>
      <c r="B30" s="16"/>
      <c r="C30" s="16"/>
      <c r="D30" s="17"/>
      <c r="E30" s="17"/>
      <c r="F30" s="15"/>
      <c r="G30" s="15"/>
      <c r="H30" s="18" t="str">
        <f aca="false">IFERROR(VALUE(LEFT(F30,1))*VALUE(LEFT(G30,1)),"")</f>
        <v/>
      </c>
      <c r="I30" s="15" t="str">
        <f aca="false">IF($H30="","",IF($H30&gt;=16,"Critique",IF($H30&gt;=9,"Élevé",IF($H30&gt;=5,"Moyen","Faible"))))</f>
        <v/>
      </c>
      <c r="J30" s="17"/>
      <c r="K30" s="15"/>
      <c r="L30" s="17"/>
      <c r="M30" s="18" t="str">
        <f aca="false">IF($H30="","",ROUND($H30*IFERROR(VLOOKUP($K30,Listes!$E$2:$F$5,2,FALSE()),1),0))</f>
        <v/>
      </c>
      <c r="N30" s="15" t="str">
        <f aca="false">IF($M30="","",IF($M30&gt;=16,"Critique",IF($M30&gt;=9,"Élevé",IF($M30&gt;=5,"Moyen","Faible"))))</f>
        <v/>
      </c>
      <c r="O30" s="15" t="str">
        <f aca="false">IF($M30="","",IF($M30&gt;=9,"OUI",""))</f>
        <v/>
      </c>
      <c r="P30" s="16"/>
      <c r="Q30" s="15"/>
      <c r="R30" s="15"/>
      <c r="T30" s="19" t="n">
        <f aca="false">IFERROR(ROUND(VALUE(LEFT(F30,1))*VALUE(LEFT(G30,1))*IFERROR(VLOOKUP($K30,Listes!$E$2:$F$5,2,FALSE()),1),0),0)</f>
        <v>0</v>
      </c>
    </row>
    <row r="31" customFormat="false" ht="15" hidden="false" customHeight="false" outlineLevel="0" collapsed="false">
      <c r="A31" s="15"/>
      <c r="B31" s="16"/>
      <c r="C31" s="16"/>
      <c r="D31" s="17"/>
      <c r="E31" s="17"/>
      <c r="F31" s="15"/>
      <c r="G31" s="15"/>
      <c r="H31" s="18" t="str">
        <f aca="false">IFERROR(VALUE(LEFT(F31,1))*VALUE(LEFT(G31,1)),"")</f>
        <v/>
      </c>
      <c r="I31" s="15" t="str">
        <f aca="false">IF($H31="","",IF($H31&gt;=16,"Critique",IF($H31&gt;=9,"Élevé",IF($H31&gt;=5,"Moyen","Faible"))))</f>
        <v/>
      </c>
      <c r="J31" s="17"/>
      <c r="K31" s="15"/>
      <c r="L31" s="17"/>
      <c r="M31" s="18" t="str">
        <f aca="false">IF($H31="","",ROUND($H31*IFERROR(VLOOKUP($K31,Listes!$E$2:$F$5,2,FALSE()),1),0))</f>
        <v/>
      </c>
      <c r="N31" s="15" t="str">
        <f aca="false">IF($M31="","",IF($M31&gt;=16,"Critique",IF($M31&gt;=9,"Élevé",IF($M31&gt;=5,"Moyen","Faible"))))</f>
        <v/>
      </c>
      <c r="O31" s="15" t="str">
        <f aca="false">IF($M31="","",IF($M31&gt;=9,"OUI",""))</f>
        <v/>
      </c>
      <c r="P31" s="16"/>
      <c r="Q31" s="15"/>
      <c r="R31" s="15"/>
      <c r="T31" s="19" t="n">
        <f aca="false">IFERROR(ROUND(VALUE(LEFT(F31,1))*VALUE(LEFT(G31,1))*IFERROR(VLOOKUP($K31,Listes!$E$2:$F$5,2,FALSE()),1),0),0)</f>
        <v>0</v>
      </c>
    </row>
    <row r="32" customFormat="false" ht="15" hidden="false" customHeight="false" outlineLevel="0" collapsed="false">
      <c r="A32" s="15"/>
      <c r="B32" s="16"/>
      <c r="C32" s="16"/>
      <c r="D32" s="17"/>
      <c r="E32" s="17"/>
      <c r="F32" s="15"/>
      <c r="G32" s="15"/>
      <c r="H32" s="18" t="str">
        <f aca="false">IFERROR(VALUE(LEFT(F32,1))*VALUE(LEFT(G32,1)),"")</f>
        <v/>
      </c>
      <c r="I32" s="15" t="str">
        <f aca="false">IF($H32="","",IF($H32&gt;=16,"Critique",IF($H32&gt;=9,"Élevé",IF($H32&gt;=5,"Moyen","Faible"))))</f>
        <v/>
      </c>
      <c r="J32" s="17"/>
      <c r="K32" s="15"/>
      <c r="L32" s="17"/>
      <c r="M32" s="18" t="str">
        <f aca="false">IF($H32="","",ROUND($H32*IFERROR(VLOOKUP($K32,Listes!$E$2:$F$5,2,FALSE()),1),0))</f>
        <v/>
      </c>
      <c r="N32" s="15" t="str">
        <f aca="false">IF($M32="","",IF($M32&gt;=16,"Critique",IF($M32&gt;=9,"Élevé",IF($M32&gt;=5,"Moyen","Faible"))))</f>
        <v/>
      </c>
      <c r="O32" s="15" t="str">
        <f aca="false">IF($M32="","",IF($M32&gt;=9,"OUI",""))</f>
        <v/>
      </c>
      <c r="P32" s="16"/>
      <c r="Q32" s="15"/>
      <c r="R32" s="15"/>
      <c r="T32" s="19" t="n">
        <f aca="false">IFERROR(ROUND(VALUE(LEFT(F32,1))*VALUE(LEFT(G32,1))*IFERROR(VLOOKUP($K32,Listes!$E$2:$F$5,2,FALSE()),1),0),0)</f>
        <v>0</v>
      </c>
    </row>
    <row r="33" customFormat="false" ht="15" hidden="false" customHeight="false" outlineLevel="0" collapsed="false">
      <c r="A33" s="15"/>
      <c r="B33" s="16"/>
      <c r="C33" s="16"/>
      <c r="D33" s="17"/>
      <c r="E33" s="17"/>
      <c r="F33" s="15"/>
      <c r="G33" s="15"/>
      <c r="H33" s="18" t="str">
        <f aca="false">IFERROR(VALUE(LEFT(F33,1))*VALUE(LEFT(G33,1)),"")</f>
        <v/>
      </c>
      <c r="I33" s="15" t="str">
        <f aca="false">IF($H33="","",IF($H33&gt;=16,"Critique",IF($H33&gt;=9,"Élevé",IF($H33&gt;=5,"Moyen","Faible"))))</f>
        <v/>
      </c>
      <c r="J33" s="17"/>
      <c r="K33" s="15"/>
      <c r="L33" s="17"/>
      <c r="M33" s="18" t="str">
        <f aca="false">IF($H33="","",ROUND($H33*IFERROR(VLOOKUP($K33,Listes!$E$2:$F$5,2,FALSE()),1),0))</f>
        <v/>
      </c>
      <c r="N33" s="15" t="str">
        <f aca="false">IF($M33="","",IF($M33&gt;=16,"Critique",IF($M33&gt;=9,"Élevé",IF($M33&gt;=5,"Moyen","Faible"))))</f>
        <v/>
      </c>
      <c r="O33" s="15" t="str">
        <f aca="false">IF($M33="","",IF($M33&gt;=9,"OUI",""))</f>
        <v/>
      </c>
      <c r="P33" s="16"/>
      <c r="Q33" s="15"/>
      <c r="R33" s="15"/>
      <c r="T33" s="19" t="n">
        <f aca="false">IFERROR(ROUND(VALUE(LEFT(F33,1))*VALUE(LEFT(G33,1))*IFERROR(VLOOKUP($K33,Listes!$E$2:$F$5,2,FALSE()),1),0),0)</f>
        <v>0</v>
      </c>
    </row>
    <row r="34" customFormat="false" ht="15" hidden="false" customHeight="false" outlineLevel="0" collapsed="false">
      <c r="A34" s="15"/>
      <c r="B34" s="16"/>
      <c r="C34" s="16"/>
      <c r="D34" s="17"/>
      <c r="E34" s="17"/>
      <c r="F34" s="15"/>
      <c r="G34" s="15"/>
      <c r="H34" s="18" t="str">
        <f aca="false">IFERROR(VALUE(LEFT(F34,1))*VALUE(LEFT(G34,1)),"")</f>
        <v/>
      </c>
      <c r="I34" s="15" t="str">
        <f aca="false">IF($H34="","",IF($H34&gt;=16,"Critique",IF($H34&gt;=9,"Élevé",IF($H34&gt;=5,"Moyen","Faible"))))</f>
        <v/>
      </c>
      <c r="J34" s="17"/>
      <c r="K34" s="15"/>
      <c r="L34" s="17"/>
      <c r="M34" s="18" t="str">
        <f aca="false">IF($H34="","",ROUND($H34*IFERROR(VLOOKUP($K34,Listes!$E$2:$F$5,2,FALSE()),1),0))</f>
        <v/>
      </c>
      <c r="N34" s="15" t="str">
        <f aca="false">IF($M34="","",IF($M34&gt;=16,"Critique",IF($M34&gt;=9,"Élevé",IF($M34&gt;=5,"Moyen","Faible"))))</f>
        <v/>
      </c>
      <c r="O34" s="15" t="str">
        <f aca="false">IF($M34="","",IF($M34&gt;=9,"OUI",""))</f>
        <v/>
      </c>
      <c r="P34" s="16"/>
      <c r="Q34" s="15"/>
      <c r="R34" s="15"/>
      <c r="T34" s="19" t="n">
        <f aca="false">IFERROR(ROUND(VALUE(LEFT(F34,1))*VALUE(LEFT(G34,1))*IFERROR(VLOOKUP($K34,Listes!$E$2:$F$5,2,FALSE()),1),0),0)</f>
        <v>0</v>
      </c>
    </row>
    <row r="35" customFormat="false" ht="15" hidden="false" customHeight="false" outlineLevel="0" collapsed="false">
      <c r="A35" s="15"/>
      <c r="B35" s="16"/>
      <c r="C35" s="16"/>
      <c r="D35" s="17"/>
      <c r="E35" s="17"/>
      <c r="F35" s="15"/>
      <c r="G35" s="15"/>
      <c r="H35" s="18" t="str">
        <f aca="false">IFERROR(VALUE(LEFT(F35,1))*VALUE(LEFT(G35,1)),"")</f>
        <v/>
      </c>
      <c r="I35" s="15" t="str">
        <f aca="false">IF($H35="","",IF($H35&gt;=16,"Critique",IF($H35&gt;=9,"Élevé",IF($H35&gt;=5,"Moyen","Faible"))))</f>
        <v/>
      </c>
      <c r="J35" s="17"/>
      <c r="K35" s="15"/>
      <c r="L35" s="17"/>
      <c r="M35" s="18" t="str">
        <f aca="false">IF($H35="","",ROUND($H35*IFERROR(VLOOKUP($K35,Listes!$E$2:$F$5,2,FALSE()),1),0))</f>
        <v/>
      </c>
      <c r="N35" s="15" t="str">
        <f aca="false">IF($M35="","",IF($M35&gt;=16,"Critique",IF($M35&gt;=9,"Élevé",IF($M35&gt;=5,"Moyen","Faible"))))</f>
        <v/>
      </c>
      <c r="O35" s="15" t="str">
        <f aca="false">IF($M35="","",IF($M35&gt;=9,"OUI",""))</f>
        <v/>
      </c>
      <c r="P35" s="16"/>
      <c r="Q35" s="15"/>
      <c r="R35" s="15"/>
      <c r="T35" s="19" t="n">
        <f aca="false">IFERROR(ROUND(VALUE(LEFT(F35,1))*VALUE(LEFT(G35,1))*IFERROR(VLOOKUP($K35,Listes!$E$2:$F$5,2,FALSE()),1),0),0)</f>
        <v>0</v>
      </c>
    </row>
    <row r="36" customFormat="false" ht="15" hidden="false" customHeight="false" outlineLevel="0" collapsed="false">
      <c r="A36" s="15"/>
      <c r="B36" s="16"/>
      <c r="C36" s="16"/>
      <c r="D36" s="17"/>
      <c r="E36" s="17"/>
      <c r="F36" s="15"/>
      <c r="G36" s="15"/>
      <c r="H36" s="18" t="str">
        <f aca="false">IFERROR(VALUE(LEFT(F36,1))*VALUE(LEFT(G36,1)),"")</f>
        <v/>
      </c>
      <c r="I36" s="15" t="str">
        <f aca="false">IF($H36="","",IF($H36&gt;=16,"Critique",IF($H36&gt;=9,"Élevé",IF($H36&gt;=5,"Moyen","Faible"))))</f>
        <v/>
      </c>
      <c r="J36" s="17"/>
      <c r="K36" s="15"/>
      <c r="L36" s="17"/>
      <c r="M36" s="18" t="str">
        <f aca="false">IF($H36="","",ROUND($H36*IFERROR(VLOOKUP($K36,Listes!$E$2:$F$5,2,FALSE()),1),0))</f>
        <v/>
      </c>
      <c r="N36" s="15" t="str">
        <f aca="false">IF($M36="","",IF($M36&gt;=16,"Critique",IF($M36&gt;=9,"Élevé",IF($M36&gt;=5,"Moyen","Faible"))))</f>
        <v/>
      </c>
      <c r="O36" s="15" t="str">
        <f aca="false">IF($M36="","",IF($M36&gt;=9,"OUI",""))</f>
        <v/>
      </c>
      <c r="P36" s="16"/>
      <c r="Q36" s="15"/>
      <c r="R36" s="15"/>
      <c r="T36" s="19" t="n">
        <f aca="false">IFERROR(ROUND(VALUE(LEFT(F36,1))*VALUE(LEFT(G36,1))*IFERROR(VLOOKUP($K36,Listes!$E$2:$F$5,2,FALSE()),1),0),0)</f>
        <v>0</v>
      </c>
    </row>
    <row r="37" customFormat="false" ht="15" hidden="false" customHeight="false" outlineLevel="0" collapsed="false">
      <c r="A37" s="15"/>
      <c r="B37" s="16"/>
      <c r="C37" s="16"/>
      <c r="D37" s="17"/>
      <c r="E37" s="17"/>
      <c r="F37" s="15"/>
      <c r="G37" s="15"/>
      <c r="H37" s="18" t="str">
        <f aca="false">IFERROR(VALUE(LEFT(F37,1))*VALUE(LEFT(G37,1)),"")</f>
        <v/>
      </c>
      <c r="I37" s="15" t="str">
        <f aca="false">IF($H37="","",IF($H37&gt;=16,"Critique",IF($H37&gt;=9,"Élevé",IF($H37&gt;=5,"Moyen","Faible"))))</f>
        <v/>
      </c>
      <c r="J37" s="17"/>
      <c r="K37" s="15"/>
      <c r="L37" s="17"/>
      <c r="M37" s="18" t="str">
        <f aca="false">IF($H37="","",ROUND($H37*IFERROR(VLOOKUP($K37,Listes!$E$2:$F$5,2,FALSE()),1),0))</f>
        <v/>
      </c>
      <c r="N37" s="15" t="str">
        <f aca="false">IF($M37="","",IF($M37&gt;=16,"Critique",IF($M37&gt;=9,"Élevé",IF($M37&gt;=5,"Moyen","Faible"))))</f>
        <v/>
      </c>
      <c r="O37" s="15" t="str">
        <f aca="false">IF($M37="","",IF($M37&gt;=9,"OUI",""))</f>
        <v/>
      </c>
      <c r="P37" s="16"/>
      <c r="Q37" s="15"/>
      <c r="R37" s="15"/>
      <c r="T37" s="19" t="n">
        <f aca="false">IFERROR(ROUND(VALUE(LEFT(F37,1))*VALUE(LEFT(G37,1))*IFERROR(VLOOKUP($K37,Listes!$E$2:$F$5,2,FALSE()),1),0),0)</f>
        <v>0</v>
      </c>
    </row>
    <row r="38" customFormat="false" ht="15" hidden="false" customHeight="false" outlineLevel="0" collapsed="false">
      <c r="A38" s="15"/>
      <c r="B38" s="16"/>
      <c r="C38" s="16"/>
      <c r="D38" s="17"/>
      <c r="E38" s="17"/>
      <c r="F38" s="15"/>
      <c r="G38" s="15"/>
      <c r="H38" s="18" t="str">
        <f aca="false">IFERROR(VALUE(LEFT(F38,1))*VALUE(LEFT(G38,1)),"")</f>
        <v/>
      </c>
      <c r="I38" s="15" t="str">
        <f aca="false">IF($H38="","",IF($H38&gt;=16,"Critique",IF($H38&gt;=9,"Élevé",IF($H38&gt;=5,"Moyen","Faible"))))</f>
        <v/>
      </c>
      <c r="J38" s="17"/>
      <c r="K38" s="15"/>
      <c r="L38" s="17"/>
      <c r="M38" s="18" t="str">
        <f aca="false">IF($H38="","",ROUND($H38*IFERROR(VLOOKUP($K38,Listes!$E$2:$F$5,2,FALSE()),1),0))</f>
        <v/>
      </c>
      <c r="N38" s="15" t="str">
        <f aca="false">IF($M38="","",IF($M38&gt;=16,"Critique",IF($M38&gt;=9,"Élevé",IF($M38&gt;=5,"Moyen","Faible"))))</f>
        <v/>
      </c>
      <c r="O38" s="15" t="str">
        <f aca="false">IF($M38="","",IF($M38&gt;=9,"OUI",""))</f>
        <v/>
      </c>
      <c r="P38" s="16"/>
      <c r="Q38" s="15"/>
      <c r="R38" s="15"/>
      <c r="T38" s="19" t="n">
        <f aca="false">IFERROR(ROUND(VALUE(LEFT(F38,1))*VALUE(LEFT(G38,1))*IFERROR(VLOOKUP($K38,Listes!$E$2:$F$5,2,FALSE()),1),0),0)</f>
        <v>0</v>
      </c>
    </row>
    <row r="39" customFormat="false" ht="15" hidden="false" customHeight="false" outlineLevel="0" collapsed="false">
      <c r="A39" s="15"/>
      <c r="B39" s="16"/>
      <c r="C39" s="16"/>
      <c r="D39" s="17"/>
      <c r="E39" s="17"/>
      <c r="F39" s="15"/>
      <c r="G39" s="15"/>
      <c r="H39" s="18" t="str">
        <f aca="false">IFERROR(VALUE(LEFT(F39,1))*VALUE(LEFT(G39,1)),"")</f>
        <v/>
      </c>
      <c r="I39" s="15" t="str">
        <f aca="false">IF($H39="","",IF($H39&gt;=16,"Critique",IF($H39&gt;=9,"Élevé",IF($H39&gt;=5,"Moyen","Faible"))))</f>
        <v/>
      </c>
      <c r="J39" s="17"/>
      <c r="K39" s="15"/>
      <c r="L39" s="17"/>
      <c r="M39" s="18" t="str">
        <f aca="false">IF($H39="","",ROUND($H39*IFERROR(VLOOKUP($K39,Listes!$E$2:$F$5,2,FALSE()),1),0))</f>
        <v/>
      </c>
      <c r="N39" s="15" t="str">
        <f aca="false">IF($M39="","",IF($M39&gt;=16,"Critique",IF($M39&gt;=9,"Élevé",IF($M39&gt;=5,"Moyen","Faible"))))</f>
        <v/>
      </c>
      <c r="O39" s="15" t="str">
        <f aca="false">IF($M39="","",IF($M39&gt;=9,"OUI",""))</f>
        <v/>
      </c>
      <c r="P39" s="16"/>
      <c r="Q39" s="15"/>
      <c r="R39" s="15"/>
      <c r="T39" s="19" t="n">
        <f aca="false">IFERROR(ROUND(VALUE(LEFT(F39,1))*VALUE(LEFT(G39,1))*IFERROR(VLOOKUP($K39,Listes!$E$2:$F$5,2,FALSE()),1),0),0)</f>
        <v>0</v>
      </c>
    </row>
    <row r="40" customFormat="false" ht="15" hidden="false" customHeight="false" outlineLevel="0" collapsed="false">
      <c r="A40" s="15"/>
      <c r="B40" s="16"/>
      <c r="C40" s="16"/>
      <c r="D40" s="17"/>
      <c r="E40" s="17"/>
      <c r="F40" s="15"/>
      <c r="G40" s="15"/>
      <c r="H40" s="18" t="str">
        <f aca="false">IFERROR(VALUE(LEFT(F40,1))*VALUE(LEFT(G40,1)),"")</f>
        <v/>
      </c>
      <c r="I40" s="15" t="str">
        <f aca="false">IF($H40="","",IF($H40&gt;=16,"Critique",IF($H40&gt;=9,"Élevé",IF($H40&gt;=5,"Moyen","Faible"))))</f>
        <v/>
      </c>
      <c r="J40" s="17"/>
      <c r="K40" s="15"/>
      <c r="L40" s="17"/>
      <c r="M40" s="18" t="str">
        <f aca="false">IF($H40="","",ROUND($H40*IFERROR(VLOOKUP($K40,Listes!$E$2:$F$5,2,FALSE()),1),0))</f>
        <v/>
      </c>
      <c r="N40" s="15" t="str">
        <f aca="false">IF($M40="","",IF($M40&gt;=16,"Critique",IF($M40&gt;=9,"Élevé",IF($M40&gt;=5,"Moyen","Faible"))))</f>
        <v/>
      </c>
      <c r="O40" s="15" t="str">
        <f aca="false">IF($M40="","",IF($M40&gt;=9,"OUI",""))</f>
        <v/>
      </c>
      <c r="P40" s="16"/>
      <c r="Q40" s="15"/>
      <c r="R40" s="15"/>
      <c r="T40" s="19" t="n">
        <f aca="false">IFERROR(ROUND(VALUE(LEFT(F40,1))*VALUE(LEFT(G40,1))*IFERROR(VLOOKUP($K40,Listes!$E$2:$F$5,2,FALSE()),1),0),0)</f>
        <v>0</v>
      </c>
    </row>
    <row r="41" customFormat="false" ht="15" hidden="false" customHeight="false" outlineLevel="0" collapsed="false">
      <c r="A41" s="15"/>
      <c r="B41" s="16"/>
      <c r="C41" s="16"/>
      <c r="D41" s="17"/>
      <c r="E41" s="17"/>
      <c r="F41" s="15"/>
      <c r="G41" s="15"/>
      <c r="H41" s="18" t="str">
        <f aca="false">IFERROR(VALUE(LEFT(F41,1))*VALUE(LEFT(G41,1)),"")</f>
        <v/>
      </c>
      <c r="I41" s="15" t="str">
        <f aca="false">IF($H41="","",IF($H41&gt;=16,"Critique",IF($H41&gt;=9,"Élevé",IF($H41&gt;=5,"Moyen","Faible"))))</f>
        <v/>
      </c>
      <c r="J41" s="17"/>
      <c r="K41" s="15"/>
      <c r="L41" s="17"/>
      <c r="M41" s="18" t="str">
        <f aca="false">IF($H41="","",ROUND($H41*IFERROR(VLOOKUP($K41,Listes!$E$2:$F$5,2,FALSE()),1),0))</f>
        <v/>
      </c>
      <c r="N41" s="15" t="str">
        <f aca="false">IF($M41="","",IF($M41&gt;=16,"Critique",IF($M41&gt;=9,"Élevé",IF($M41&gt;=5,"Moyen","Faible"))))</f>
        <v/>
      </c>
      <c r="O41" s="15" t="str">
        <f aca="false">IF($M41="","",IF($M41&gt;=9,"OUI",""))</f>
        <v/>
      </c>
      <c r="P41" s="16"/>
      <c r="Q41" s="15"/>
      <c r="R41" s="15"/>
      <c r="T41" s="19" t="n">
        <f aca="false">IFERROR(ROUND(VALUE(LEFT(F41,1))*VALUE(LEFT(G41,1))*IFERROR(VLOOKUP($K41,Listes!$E$2:$F$5,2,FALSE()),1),0),0)</f>
        <v>0</v>
      </c>
    </row>
    <row r="42" customFormat="false" ht="15" hidden="false" customHeight="false" outlineLevel="0" collapsed="false">
      <c r="A42" s="15"/>
      <c r="B42" s="16"/>
      <c r="C42" s="16"/>
      <c r="D42" s="17"/>
      <c r="E42" s="17"/>
      <c r="F42" s="15"/>
      <c r="G42" s="15"/>
      <c r="H42" s="18" t="str">
        <f aca="false">IFERROR(VALUE(LEFT(F42,1))*VALUE(LEFT(G42,1)),"")</f>
        <v/>
      </c>
      <c r="I42" s="15" t="str">
        <f aca="false">IF($H42="","",IF($H42&gt;=16,"Critique",IF($H42&gt;=9,"Élevé",IF($H42&gt;=5,"Moyen","Faible"))))</f>
        <v/>
      </c>
      <c r="J42" s="17"/>
      <c r="K42" s="15"/>
      <c r="L42" s="17"/>
      <c r="M42" s="18" t="str">
        <f aca="false">IF($H42="","",ROUND($H42*IFERROR(VLOOKUP($K42,Listes!$E$2:$F$5,2,FALSE()),1),0))</f>
        <v/>
      </c>
      <c r="N42" s="15" t="str">
        <f aca="false">IF($M42="","",IF($M42&gt;=16,"Critique",IF($M42&gt;=9,"Élevé",IF($M42&gt;=5,"Moyen","Faible"))))</f>
        <v/>
      </c>
      <c r="O42" s="15" t="str">
        <f aca="false">IF($M42="","",IF($M42&gt;=9,"OUI",""))</f>
        <v/>
      </c>
      <c r="P42" s="16"/>
      <c r="Q42" s="15"/>
      <c r="R42" s="15"/>
      <c r="T42" s="19" t="n">
        <f aca="false">IFERROR(ROUND(VALUE(LEFT(F42,1))*VALUE(LEFT(G42,1))*IFERROR(VLOOKUP($K42,Listes!$E$2:$F$5,2,FALSE()),1),0),0)</f>
        <v>0</v>
      </c>
    </row>
    <row r="43" customFormat="false" ht="15" hidden="false" customHeight="false" outlineLevel="0" collapsed="false">
      <c r="A43" s="15"/>
      <c r="B43" s="16"/>
      <c r="C43" s="16"/>
      <c r="D43" s="17"/>
      <c r="E43" s="17"/>
      <c r="F43" s="15"/>
      <c r="G43" s="15"/>
      <c r="H43" s="18" t="str">
        <f aca="false">IFERROR(VALUE(LEFT(F43,1))*VALUE(LEFT(G43,1)),"")</f>
        <v/>
      </c>
      <c r="I43" s="15" t="str">
        <f aca="false">IF($H43="","",IF($H43&gt;=16,"Critique",IF($H43&gt;=9,"Élevé",IF($H43&gt;=5,"Moyen","Faible"))))</f>
        <v/>
      </c>
      <c r="J43" s="17"/>
      <c r="K43" s="15"/>
      <c r="L43" s="17"/>
      <c r="M43" s="18" t="str">
        <f aca="false">IF($H43="","",ROUND($H43*IFERROR(VLOOKUP($K43,Listes!$E$2:$F$5,2,FALSE()),1),0))</f>
        <v/>
      </c>
      <c r="N43" s="15" t="str">
        <f aca="false">IF($M43="","",IF($M43&gt;=16,"Critique",IF($M43&gt;=9,"Élevé",IF($M43&gt;=5,"Moyen","Faible"))))</f>
        <v/>
      </c>
      <c r="O43" s="15" t="str">
        <f aca="false">IF($M43="","",IF($M43&gt;=9,"OUI",""))</f>
        <v/>
      </c>
      <c r="P43" s="16"/>
      <c r="Q43" s="15"/>
      <c r="R43" s="15"/>
      <c r="T43" s="19" t="n">
        <f aca="false">IFERROR(ROUND(VALUE(LEFT(F43,1))*VALUE(LEFT(G43,1))*IFERROR(VLOOKUP($K43,Listes!$E$2:$F$5,2,FALSE()),1),0),0)</f>
        <v>0</v>
      </c>
    </row>
    <row r="44" customFormat="false" ht="15" hidden="false" customHeight="false" outlineLevel="0" collapsed="false">
      <c r="A44" s="15"/>
      <c r="B44" s="16"/>
      <c r="C44" s="16"/>
      <c r="D44" s="17"/>
      <c r="E44" s="17"/>
      <c r="F44" s="15"/>
      <c r="G44" s="15"/>
      <c r="H44" s="18" t="str">
        <f aca="false">IFERROR(VALUE(LEFT(F44,1))*VALUE(LEFT(G44,1)),"")</f>
        <v/>
      </c>
      <c r="I44" s="15" t="str">
        <f aca="false">IF($H44="","",IF($H44&gt;=16,"Critique",IF($H44&gt;=9,"Élevé",IF($H44&gt;=5,"Moyen","Faible"))))</f>
        <v/>
      </c>
      <c r="J44" s="17"/>
      <c r="K44" s="15"/>
      <c r="L44" s="17"/>
      <c r="M44" s="18" t="str">
        <f aca="false">IF($H44="","",ROUND($H44*IFERROR(VLOOKUP($K44,Listes!$E$2:$F$5,2,FALSE()),1),0))</f>
        <v/>
      </c>
      <c r="N44" s="15" t="str">
        <f aca="false">IF($M44="","",IF($M44&gt;=16,"Critique",IF($M44&gt;=9,"Élevé",IF($M44&gt;=5,"Moyen","Faible"))))</f>
        <v/>
      </c>
      <c r="O44" s="15" t="str">
        <f aca="false">IF($M44="","",IF($M44&gt;=9,"OUI",""))</f>
        <v/>
      </c>
      <c r="P44" s="16"/>
      <c r="Q44" s="15"/>
      <c r="R44" s="15"/>
      <c r="T44" s="19" t="n">
        <f aca="false">IFERROR(ROUND(VALUE(LEFT(F44,1))*VALUE(LEFT(G44,1))*IFERROR(VLOOKUP($K44,Listes!$E$2:$F$5,2,FALSE()),1),0),0)</f>
        <v>0</v>
      </c>
    </row>
    <row r="45" customFormat="false" ht="15" hidden="false" customHeight="false" outlineLevel="0" collapsed="false">
      <c r="A45" s="15"/>
      <c r="B45" s="16"/>
      <c r="C45" s="16"/>
      <c r="D45" s="17"/>
      <c r="E45" s="17"/>
      <c r="F45" s="15"/>
      <c r="G45" s="15"/>
      <c r="H45" s="18" t="str">
        <f aca="false">IFERROR(VALUE(LEFT(F45,1))*VALUE(LEFT(G45,1)),"")</f>
        <v/>
      </c>
      <c r="I45" s="15" t="str">
        <f aca="false">IF($H45="","",IF($H45&gt;=16,"Critique",IF($H45&gt;=9,"Élevé",IF($H45&gt;=5,"Moyen","Faible"))))</f>
        <v/>
      </c>
      <c r="J45" s="17"/>
      <c r="K45" s="15"/>
      <c r="L45" s="17"/>
      <c r="M45" s="18" t="str">
        <f aca="false">IF($H45="","",ROUND($H45*IFERROR(VLOOKUP($K45,Listes!$E$2:$F$5,2,FALSE()),1),0))</f>
        <v/>
      </c>
      <c r="N45" s="15" t="str">
        <f aca="false">IF($M45="","",IF($M45&gt;=16,"Critique",IF($M45&gt;=9,"Élevé",IF($M45&gt;=5,"Moyen","Faible"))))</f>
        <v/>
      </c>
      <c r="O45" s="15" t="str">
        <f aca="false">IF($M45="","",IF($M45&gt;=9,"OUI",""))</f>
        <v/>
      </c>
      <c r="P45" s="16"/>
      <c r="Q45" s="15"/>
      <c r="R45" s="15"/>
      <c r="T45" s="19" t="n">
        <f aca="false">IFERROR(ROUND(VALUE(LEFT(F45,1))*VALUE(LEFT(G45,1))*IFERROR(VLOOKUP($K45,Listes!$E$2:$F$5,2,FALSE()),1),0),0)</f>
        <v>0</v>
      </c>
    </row>
    <row r="46" customFormat="false" ht="15" hidden="false" customHeight="false" outlineLevel="0" collapsed="false">
      <c r="A46" s="15"/>
      <c r="B46" s="16"/>
      <c r="C46" s="16"/>
      <c r="D46" s="17"/>
      <c r="E46" s="17"/>
      <c r="F46" s="15"/>
      <c r="G46" s="15"/>
      <c r="H46" s="18" t="str">
        <f aca="false">IFERROR(VALUE(LEFT(F46,1))*VALUE(LEFT(G46,1)),"")</f>
        <v/>
      </c>
      <c r="I46" s="15" t="str">
        <f aca="false">IF($H46="","",IF($H46&gt;=16,"Critique",IF($H46&gt;=9,"Élevé",IF($H46&gt;=5,"Moyen","Faible"))))</f>
        <v/>
      </c>
      <c r="J46" s="17"/>
      <c r="K46" s="15"/>
      <c r="L46" s="17"/>
      <c r="M46" s="18" t="str">
        <f aca="false">IF($H46="","",ROUND($H46*IFERROR(VLOOKUP($K46,Listes!$E$2:$F$5,2,FALSE()),1),0))</f>
        <v/>
      </c>
      <c r="N46" s="15" t="str">
        <f aca="false">IF($M46="","",IF($M46&gt;=16,"Critique",IF($M46&gt;=9,"Élevé",IF($M46&gt;=5,"Moyen","Faible"))))</f>
        <v/>
      </c>
      <c r="O46" s="15" t="str">
        <f aca="false">IF($M46="","",IF($M46&gt;=9,"OUI",""))</f>
        <v/>
      </c>
      <c r="P46" s="16"/>
      <c r="Q46" s="15"/>
      <c r="R46" s="15"/>
      <c r="T46" s="19" t="n">
        <f aca="false">IFERROR(ROUND(VALUE(LEFT(F46,1))*VALUE(LEFT(G46,1))*IFERROR(VLOOKUP($K46,Listes!$E$2:$F$5,2,FALSE()),1),0),0)</f>
        <v>0</v>
      </c>
    </row>
    <row r="47" customFormat="false" ht="15" hidden="false" customHeight="false" outlineLevel="0" collapsed="false">
      <c r="A47" s="15"/>
      <c r="B47" s="16"/>
      <c r="C47" s="16"/>
      <c r="D47" s="17"/>
      <c r="E47" s="17"/>
      <c r="F47" s="15"/>
      <c r="G47" s="15"/>
      <c r="H47" s="18" t="str">
        <f aca="false">IFERROR(VALUE(LEFT(F47,1))*VALUE(LEFT(G47,1)),"")</f>
        <v/>
      </c>
      <c r="I47" s="15" t="str">
        <f aca="false">IF($H47="","",IF($H47&gt;=16,"Critique",IF($H47&gt;=9,"Élevé",IF($H47&gt;=5,"Moyen","Faible"))))</f>
        <v/>
      </c>
      <c r="J47" s="17"/>
      <c r="K47" s="15"/>
      <c r="L47" s="17"/>
      <c r="M47" s="18" t="str">
        <f aca="false">IF($H47="","",ROUND($H47*IFERROR(VLOOKUP($K47,Listes!$E$2:$F$5,2,FALSE()),1),0))</f>
        <v/>
      </c>
      <c r="N47" s="15" t="str">
        <f aca="false">IF($M47="","",IF($M47&gt;=16,"Critique",IF($M47&gt;=9,"Élevé",IF($M47&gt;=5,"Moyen","Faible"))))</f>
        <v/>
      </c>
      <c r="O47" s="15" t="str">
        <f aca="false">IF($M47="","",IF($M47&gt;=9,"OUI",""))</f>
        <v/>
      </c>
      <c r="P47" s="16"/>
      <c r="Q47" s="15"/>
      <c r="R47" s="15"/>
      <c r="T47" s="19" t="n">
        <f aca="false">IFERROR(ROUND(VALUE(LEFT(F47,1))*VALUE(LEFT(G47,1))*IFERROR(VLOOKUP($K47,Listes!$E$2:$F$5,2,FALSE()),1),0),0)</f>
        <v>0</v>
      </c>
    </row>
    <row r="48" customFormat="false" ht="15" hidden="false" customHeight="false" outlineLevel="0" collapsed="false">
      <c r="A48" s="15"/>
      <c r="B48" s="16"/>
      <c r="C48" s="16"/>
      <c r="D48" s="17"/>
      <c r="E48" s="17"/>
      <c r="F48" s="15"/>
      <c r="G48" s="15"/>
      <c r="H48" s="18" t="str">
        <f aca="false">IFERROR(VALUE(LEFT(F48,1))*VALUE(LEFT(G48,1)),"")</f>
        <v/>
      </c>
      <c r="I48" s="15" t="str">
        <f aca="false">IF($H48="","",IF($H48&gt;=16,"Critique",IF($H48&gt;=9,"Élevé",IF($H48&gt;=5,"Moyen","Faible"))))</f>
        <v/>
      </c>
      <c r="J48" s="17"/>
      <c r="K48" s="15"/>
      <c r="L48" s="17"/>
      <c r="M48" s="18" t="str">
        <f aca="false">IF($H48="","",ROUND($H48*IFERROR(VLOOKUP($K48,Listes!$E$2:$F$5,2,FALSE()),1),0))</f>
        <v/>
      </c>
      <c r="N48" s="15" t="str">
        <f aca="false">IF($M48="","",IF($M48&gt;=16,"Critique",IF($M48&gt;=9,"Élevé",IF($M48&gt;=5,"Moyen","Faible"))))</f>
        <v/>
      </c>
      <c r="O48" s="15" t="str">
        <f aca="false">IF($M48="","",IF($M48&gt;=9,"OUI",""))</f>
        <v/>
      </c>
      <c r="P48" s="16"/>
      <c r="Q48" s="15"/>
      <c r="R48" s="15"/>
      <c r="T48" s="19" t="n">
        <f aca="false">IFERROR(ROUND(VALUE(LEFT(F48,1))*VALUE(LEFT(G48,1))*IFERROR(VLOOKUP($K48,Listes!$E$2:$F$5,2,FALSE()),1),0),0)</f>
        <v>0</v>
      </c>
    </row>
    <row r="49" customFormat="false" ht="15" hidden="false" customHeight="false" outlineLevel="0" collapsed="false">
      <c r="A49" s="15"/>
      <c r="B49" s="16"/>
      <c r="C49" s="16"/>
      <c r="D49" s="17"/>
      <c r="E49" s="17"/>
      <c r="F49" s="15"/>
      <c r="G49" s="15"/>
      <c r="H49" s="18" t="str">
        <f aca="false">IFERROR(VALUE(LEFT(F49,1))*VALUE(LEFT(G49,1)),"")</f>
        <v/>
      </c>
      <c r="I49" s="15" t="str">
        <f aca="false">IF($H49="","",IF($H49&gt;=16,"Critique",IF($H49&gt;=9,"Élevé",IF($H49&gt;=5,"Moyen","Faible"))))</f>
        <v/>
      </c>
      <c r="J49" s="17"/>
      <c r="K49" s="15"/>
      <c r="L49" s="17"/>
      <c r="M49" s="18" t="str">
        <f aca="false">IF($H49="","",ROUND($H49*IFERROR(VLOOKUP($K49,Listes!$E$2:$F$5,2,FALSE()),1),0))</f>
        <v/>
      </c>
      <c r="N49" s="15" t="str">
        <f aca="false">IF($M49="","",IF($M49&gt;=16,"Critique",IF($M49&gt;=9,"Élevé",IF($M49&gt;=5,"Moyen","Faible"))))</f>
        <v/>
      </c>
      <c r="O49" s="15" t="str">
        <f aca="false">IF($M49="","",IF($M49&gt;=9,"OUI",""))</f>
        <v/>
      </c>
      <c r="P49" s="16"/>
      <c r="Q49" s="15"/>
      <c r="R49" s="15"/>
      <c r="T49" s="19" t="n">
        <f aca="false">IFERROR(ROUND(VALUE(LEFT(F49,1))*VALUE(LEFT(G49,1))*IFERROR(VLOOKUP($K49,Listes!$E$2:$F$5,2,FALSE()),1),0),0)</f>
        <v>0</v>
      </c>
    </row>
    <row r="50" customFormat="false" ht="15" hidden="false" customHeight="false" outlineLevel="0" collapsed="false">
      <c r="A50" s="15"/>
      <c r="B50" s="16"/>
      <c r="C50" s="16"/>
      <c r="D50" s="17"/>
      <c r="E50" s="17"/>
      <c r="F50" s="15"/>
      <c r="G50" s="15"/>
      <c r="H50" s="18" t="str">
        <f aca="false">IFERROR(VALUE(LEFT(F50,1))*VALUE(LEFT(G50,1)),"")</f>
        <v/>
      </c>
      <c r="I50" s="15" t="str">
        <f aca="false">IF($H50="","",IF($H50&gt;=16,"Critique",IF($H50&gt;=9,"Élevé",IF($H50&gt;=5,"Moyen","Faible"))))</f>
        <v/>
      </c>
      <c r="J50" s="17"/>
      <c r="K50" s="15"/>
      <c r="L50" s="17"/>
      <c r="M50" s="18" t="str">
        <f aca="false">IF($H50="","",ROUND($H50*IFERROR(VLOOKUP($K50,Listes!$E$2:$F$5,2,FALSE()),1),0))</f>
        <v/>
      </c>
      <c r="N50" s="15" t="str">
        <f aca="false">IF($M50="","",IF($M50&gt;=16,"Critique",IF($M50&gt;=9,"Élevé",IF($M50&gt;=5,"Moyen","Faible"))))</f>
        <v/>
      </c>
      <c r="O50" s="15" t="str">
        <f aca="false">IF($M50="","",IF($M50&gt;=9,"OUI",""))</f>
        <v/>
      </c>
      <c r="P50" s="16"/>
      <c r="Q50" s="15"/>
      <c r="R50" s="15"/>
      <c r="T50" s="19" t="n">
        <f aca="false">IFERROR(ROUND(VALUE(LEFT(F50,1))*VALUE(LEFT(G50,1))*IFERROR(VLOOKUP($K50,Listes!$E$2:$F$5,2,FALSE()),1),0),0)</f>
        <v>0</v>
      </c>
    </row>
    <row r="51" customFormat="false" ht="15" hidden="false" customHeight="false" outlineLevel="0" collapsed="false">
      <c r="A51" s="15"/>
      <c r="B51" s="16"/>
      <c r="C51" s="16"/>
      <c r="D51" s="17"/>
      <c r="E51" s="17"/>
      <c r="F51" s="15"/>
      <c r="G51" s="15"/>
      <c r="H51" s="18" t="str">
        <f aca="false">IFERROR(VALUE(LEFT(F51,1))*VALUE(LEFT(G51,1)),"")</f>
        <v/>
      </c>
      <c r="I51" s="15" t="str">
        <f aca="false">IF($H51="","",IF($H51&gt;=16,"Critique",IF($H51&gt;=9,"Élevé",IF($H51&gt;=5,"Moyen","Faible"))))</f>
        <v/>
      </c>
      <c r="J51" s="17"/>
      <c r="K51" s="15"/>
      <c r="L51" s="17"/>
      <c r="M51" s="18" t="str">
        <f aca="false">IF($H51="","",ROUND($H51*IFERROR(VLOOKUP($K51,Listes!$E$2:$F$5,2,FALSE()),1),0))</f>
        <v/>
      </c>
      <c r="N51" s="15" t="str">
        <f aca="false">IF($M51="","",IF($M51&gt;=16,"Critique",IF($M51&gt;=9,"Élevé",IF($M51&gt;=5,"Moyen","Faible"))))</f>
        <v/>
      </c>
      <c r="O51" s="15" t="str">
        <f aca="false">IF($M51="","",IF($M51&gt;=9,"OUI",""))</f>
        <v/>
      </c>
      <c r="P51" s="16"/>
      <c r="Q51" s="15"/>
      <c r="R51" s="15"/>
      <c r="T51" s="19" t="n">
        <f aca="false">IFERROR(ROUND(VALUE(LEFT(F51,1))*VALUE(LEFT(G51,1))*IFERROR(VLOOKUP($K51,Listes!$E$2:$F$5,2,FALSE()),1),0),0)</f>
        <v>0</v>
      </c>
    </row>
    <row r="52" customFormat="false" ht="15" hidden="false" customHeight="false" outlineLevel="0" collapsed="false">
      <c r="A52" s="15"/>
      <c r="B52" s="16"/>
      <c r="C52" s="16"/>
      <c r="D52" s="17"/>
      <c r="E52" s="17"/>
      <c r="F52" s="15"/>
      <c r="G52" s="15"/>
      <c r="H52" s="18" t="str">
        <f aca="false">IFERROR(VALUE(LEFT(F52,1))*VALUE(LEFT(G52,1)),"")</f>
        <v/>
      </c>
      <c r="I52" s="15" t="str">
        <f aca="false">IF($H52="","",IF($H52&gt;=16,"Critique",IF($H52&gt;=9,"Élevé",IF($H52&gt;=5,"Moyen","Faible"))))</f>
        <v/>
      </c>
      <c r="J52" s="17"/>
      <c r="K52" s="15"/>
      <c r="L52" s="17"/>
      <c r="M52" s="18" t="str">
        <f aca="false">IF($H52="","",ROUND($H52*IFERROR(VLOOKUP($K52,Listes!$E$2:$F$5,2,FALSE()),1),0))</f>
        <v/>
      </c>
      <c r="N52" s="15" t="str">
        <f aca="false">IF($M52="","",IF($M52&gt;=16,"Critique",IF($M52&gt;=9,"Élevé",IF($M52&gt;=5,"Moyen","Faible"))))</f>
        <v/>
      </c>
      <c r="O52" s="15" t="str">
        <f aca="false">IF($M52="","",IF($M52&gt;=9,"OUI",""))</f>
        <v/>
      </c>
      <c r="P52" s="16"/>
      <c r="Q52" s="15"/>
      <c r="R52" s="15"/>
      <c r="T52" s="19" t="n">
        <f aca="false">IFERROR(ROUND(VALUE(LEFT(F52,1))*VALUE(LEFT(G52,1))*IFERROR(VLOOKUP($K52,Listes!$E$2:$F$5,2,FALSE()),1),0),0)</f>
        <v>0</v>
      </c>
    </row>
    <row r="53" customFormat="false" ht="15" hidden="false" customHeight="false" outlineLevel="0" collapsed="false">
      <c r="A53" s="15"/>
      <c r="B53" s="16"/>
      <c r="C53" s="16"/>
      <c r="D53" s="17"/>
      <c r="E53" s="17"/>
      <c r="F53" s="15"/>
      <c r="G53" s="15"/>
      <c r="H53" s="18" t="str">
        <f aca="false">IFERROR(VALUE(LEFT(F53,1))*VALUE(LEFT(G53,1)),"")</f>
        <v/>
      </c>
      <c r="I53" s="15" t="str">
        <f aca="false">IF($H53="","",IF($H53&gt;=16,"Critique",IF($H53&gt;=9,"Élevé",IF($H53&gt;=5,"Moyen","Faible"))))</f>
        <v/>
      </c>
      <c r="J53" s="17"/>
      <c r="K53" s="15"/>
      <c r="L53" s="17"/>
      <c r="M53" s="18" t="str">
        <f aca="false">IF($H53="","",ROUND($H53*IFERROR(VLOOKUP($K53,Listes!$E$2:$F$5,2,FALSE()),1),0))</f>
        <v/>
      </c>
      <c r="N53" s="15" t="str">
        <f aca="false">IF($M53="","",IF($M53&gt;=16,"Critique",IF($M53&gt;=9,"Élevé",IF($M53&gt;=5,"Moyen","Faible"))))</f>
        <v/>
      </c>
      <c r="O53" s="15" t="str">
        <f aca="false">IF($M53="","",IF($M53&gt;=9,"OUI",""))</f>
        <v/>
      </c>
      <c r="P53" s="16"/>
      <c r="Q53" s="15"/>
      <c r="R53" s="15"/>
      <c r="T53" s="19" t="n">
        <f aca="false">IFERROR(ROUND(VALUE(LEFT(F53,1))*VALUE(LEFT(G53,1))*IFERROR(VLOOKUP($K53,Listes!$E$2:$F$5,2,FALSE()),1),0),0)</f>
        <v>0</v>
      </c>
    </row>
    <row r="54" customFormat="false" ht="15" hidden="false" customHeight="false" outlineLevel="0" collapsed="false">
      <c r="A54" s="15"/>
      <c r="B54" s="16"/>
      <c r="C54" s="16"/>
      <c r="D54" s="17"/>
      <c r="E54" s="17"/>
      <c r="F54" s="15"/>
      <c r="G54" s="15"/>
      <c r="H54" s="18" t="str">
        <f aca="false">IFERROR(VALUE(LEFT(F54,1))*VALUE(LEFT(G54,1)),"")</f>
        <v/>
      </c>
      <c r="I54" s="15" t="str">
        <f aca="false">IF($H54="","",IF($H54&gt;=16,"Critique",IF($H54&gt;=9,"Élevé",IF($H54&gt;=5,"Moyen","Faible"))))</f>
        <v/>
      </c>
      <c r="J54" s="17"/>
      <c r="K54" s="15"/>
      <c r="L54" s="17"/>
      <c r="M54" s="18" t="str">
        <f aca="false">IF($H54="","",ROUND($H54*IFERROR(VLOOKUP($K54,Listes!$E$2:$F$5,2,FALSE()),1),0))</f>
        <v/>
      </c>
      <c r="N54" s="15" t="str">
        <f aca="false">IF($M54="","",IF($M54&gt;=16,"Critique",IF($M54&gt;=9,"Élevé",IF($M54&gt;=5,"Moyen","Faible"))))</f>
        <v/>
      </c>
      <c r="O54" s="15" t="str">
        <f aca="false">IF($M54="","",IF($M54&gt;=9,"OUI",""))</f>
        <v/>
      </c>
      <c r="P54" s="16"/>
      <c r="Q54" s="15"/>
      <c r="R54" s="15"/>
      <c r="T54" s="19" t="n">
        <f aca="false">IFERROR(ROUND(VALUE(LEFT(F54,1))*VALUE(LEFT(G54,1))*IFERROR(VLOOKUP($K54,Listes!$E$2:$F$5,2,FALSE()),1),0),0)</f>
        <v>0</v>
      </c>
    </row>
    <row r="55" customFormat="false" ht="15" hidden="false" customHeight="false" outlineLevel="0" collapsed="false">
      <c r="A55" s="15"/>
      <c r="B55" s="16"/>
      <c r="C55" s="16"/>
      <c r="D55" s="17"/>
      <c r="E55" s="17"/>
      <c r="F55" s="15"/>
      <c r="G55" s="15"/>
      <c r="H55" s="18" t="str">
        <f aca="false">IFERROR(VALUE(LEFT(F55,1))*VALUE(LEFT(G55,1)),"")</f>
        <v/>
      </c>
      <c r="I55" s="15" t="str">
        <f aca="false">IF($H55="","",IF($H55&gt;=16,"Critique",IF($H55&gt;=9,"Élevé",IF($H55&gt;=5,"Moyen","Faible"))))</f>
        <v/>
      </c>
      <c r="J55" s="17"/>
      <c r="K55" s="15"/>
      <c r="L55" s="17"/>
      <c r="M55" s="18" t="str">
        <f aca="false">IF($H55="","",ROUND($H55*IFERROR(VLOOKUP($K55,Listes!$E$2:$F$5,2,FALSE()),1),0))</f>
        <v/>
      </c>
      <c r="N55" s="15" t="str">
        <f aca="false">IF($M55="","",IF($M55&gt;=16,"Critique",IF($M55&gt;=9,"Élevé",IF($M55&gt;=5,"Moyen","Faible"))))</f>
        <v/>
      </c>
      <c r="O55" s="15" t="str">
        <f aca="false">IF($M55="","",IF($M55&gt;=9,"OUI",""))</f>
        <v/>
      </c>
      <c r="P55" s="16"/>
      <c r="Q55" s="15"/>
      <c r="R55" s="15"/>
      <c r="T55" s="19" t="n">
        <f aca="false">IFERROR(ROUND(VALUE(LEFT(F55,1))*VALUE(LEFT(G55,1))*IFERROR(VLOOKUP($K55,Listes!$E$2:$F$5,2,FALSE()),1),0),0)</f>
        <v>0</v>
      </c>
    </row>
    <row r="56" customFormat="false" ht="15" hidden="false" customHeight="false" outlineLevel="0" collapsed="false">
      <c r="A56" s="15"/>
      <c r="B56" s="16"/>
      <c r="C56" s="16"/>
      <c r="D56" s="17"/>
      <c r="E56" s="17"/>
      <c r="F56" s="15"/>
      <c r="G56" s="15"/>
      <c r="H56" s="18" t="str">
        <f aca="false">IFERROR(VALUE(LEFT(F56,1))*VALUE(LEFT(G56,1)),"")</f>
        <v/>
      </c>
      <c r="I56" s="15" t="str">
        <f aca="false">IF($H56="","",IF($H56&gt;=16,"Critique",IF($H56&gt;=9,"Élevé",IF($H56&gt;=5,"Moyen","Faible"))))</f>
        <v/>
      </c>
      <c r="J56" s="17"/>
      <c r="K56" s="15"/>
      <c r="L56" s="17"/>
      <c r="M56" s="18" t="str">
        <f aca="false">IF($H56="","",ROUND($H56*IFERROR(VLOOKUP($K56,Listes!$E$2:$F$5,2,FALSE()),1),0))</f>
        <v/>
      </c>
      <c r="N56" s="15" t="str">
        <f aca="false">IF($M56="","",IF($M56&gt;=16,"Critique",IF($M56&gt;=9,"Élevé",IF($M56&gt;=5,"Moyen","Faible"))))</f>
        <v/>
      </c>
      <c r="O56" s="15" t="str">
        <f aca="false">IF($M56="","",IF($M56&gt;=9,"OUI",""))</f>
        <v/>
      </c>
      <c r="P56" s="16"/>
      <c r="Q56" s="15"/>
      <c r="R56" s="15"/>
      <c r="T56" s="19" t="n">
        <f aca="false">IFERROR(ROUND(VALUE(LEFT(F56,1))*VALUE(LEFT(G56,1))*IFERROR(VLOOKUP($K56,Listes!$E$2:$F$5,2,FALSE()),1),0),0)</f>
        <v>0</v>
      </c>
    </row>
    <row r="57" customFormat="false" ht="15" hidden="false" customHeight="false" outlineLevel="0" collapsed="false">
      <c r="A57" s="15"/>
      <c r="B57" s="16"/>
      <c r="C57" s="16"/>
      <c r="D57" s="17"/>
      <c r="E57" s="17"/>
      <c r="F57" s="15"/>
      <c r="G57" s="15"/>
      <c r="H57" s="18" t="str">
        <f aca="false">IFERROR(VALUE(LEFT(F57,1))*VALUE(LEFT(G57,1)),"")</f>
        <v/>
      </c>
      <c r="I57" s="15" t="str">
        <f aca="false">IF($H57="","",IF($H57&gt;=16,"Critique",IF($H57&gt;=9,"Élevé",IF($H57&gt;=5,"Moyen","Faible"))))</f>
        <v/>
      </c>
      <c r="J57" s="17"/>
      <c r="K57" s="15"/>
      <c r="L57" s="17"/>
      <c r="M57" s="18" t="str">
        <f aca="false">IF($H57="","",ROUND($H57*IFERROR(VLOOKUP($K57,Listes!$E$2:$F$5,2,FALSE()),1),0))</f>
        <v/>
      </c>
      <c r="N57" s="15" t="str">
        <f aca="false">IF($M57="","",IF($M57&gt;=16,"Critique",IF($M57&gt;=9,"Élevé",IF($M57&gt;=5,"Moyen","Faible"))))</f>
        <v/>
      </c>
      <c r="O57" s="15" t="str">
        <f aca="false">IF($M57="","",IF($M57&gt;=9,"OUI",""))</f>
        <v/>
      </c>
      <c r="P57" s="16"/>
      <c r="Q57" s="15"/>
      <c r="R57" s="15"/>
      <c r="T57" s="19" t="n">
        <f aca="false">IFERROR(ROUND(VALUE(LEFT(F57,1))*VALUE(LEFT(G57,1))*IFERROR(VLOOKUP($K57,Listes!$E$2:$F$5,2,FALSE()),1),0),0)</f>
        <v>0</v>
      </c>
    </row>
    <row r="58" customFormat="false" ht="15" hidden="false" customHeight="false" outlineLevel="0" collapsed="false">
      <c r="A58" s="15"/>
      <c r="B58" s="16"/>
      <c r="C58" s="16"/>
      <c r="D58" s="17"/>
      <c r="E58" s="17"/>
      <c r="F58" s="15"/>
      <c r="G58" s="15"/>
      <c r="H58" s="18" t="str">
        <f aca="false">IFERROR(VALUE(LEFT(F58,1))*VALUE(LEFT(G58,1)),"")</f>
        <v/>
      </c>
      <c r="I58" s="15" t="str">
        <f aca="false">IF($H58="","",IF($H58&gt;=16,"Critique",IF($H58&gt;=9,"Élevé",IF($H58&gt;=5,"Moyen","Faible"))))</f>
        <v/>
      </c>
      <c r="J58" s="17"/>
      <c r="K58" s="15"/>
      <c r="L58" s="17"/>
      <c r="M58" s="18" t="str">
        <f aca="false">IF($H58="","",ROUND($H58*IFERROR(VLOOKUP($K58,Listes!$E$2:$F$5,2,FALSE()),1),0))</f>
        <v/>
      </c>
      <c r="N58" s="15" t="str">
        <f aca="false">IF($M58="","",IF($M58&gt;=16,"Critique",IF($M58&gt;=9,"Élevé",IF($M58&gt;=5,"Moyen","Faible"))))</f>
        <v/>
      </c>
      <c r="O58" s="15" t="str">
        <f aca="false">IF($M58="","",IF($M58&gt;=9,"OUI",""))</f>
        <v/>
      </c>
      <c r="P58" s="16"/>
      <c r="Q58" s="15"/>
      <c r="R58" s="15"/>
      <c r="T58" s="19" t="n">
        <f aca="false">IFERROR(ROUND(VALUE(LEFT(F58,1))*VALUE(LEFT(G58,1))*IFERROR(VLOOKUP($K58,Listes!$E$2:$F$5,2,FALSE()),1),0),0)</f>
        <v>0</v>
      </c>
    </row>
    <row r="59" customFormat="false" ht="15" hidden="false" customHeight="false" outlineLevel="0" collapsed="false">
      <c r="A59" s="15"/>
      <c r="B59" s="16"/>
      <c r="C59" s="16"/>
      <c r="D59" s="17"/>
      <c r="E59" s="17"/>
      <c r="F59" s="15"/>
      <c r="G59" s="15"/>
      <c r="H59" s="18" t="str">
        <f aca="false">IFERROR(VALUE(LEFT(F59,1))*VALUE(LEFT(G59,1)),"")</f>
        <v/>
      </c>
      <c r="I59" s="15" t="str">
        <f aca="false">IF($H59="","",IF($H59&gt;=16,"Critique",IF($H59&gt;=9,"Élevé",IF($H59&gt;=5,"Moyen","Faible"))))</f>
        <v/>
      </c>
      <c r="J59" s="17"/>
      <c r="K59" s="15"/>
      <c r="L59" s="17"/>
      <c r="M59" s="18" t="str">
        <f aca="false">IF($H59="","",ROUND($H59*IFERROR(VLOOKUP($K59,Listes!$E$2:$F$5,2,FALSE()),1),0))</f>
        <v/>
      </c>
      <c r="N59" s="15" t="str">
        <f aca="false">IF($M59="","",IF($M59&gt;=16,"Critique",IF($M59&gt;=9,"Élevé",IF($M59&gt;=5,"Moyen","Faible"))))</f>
        <v/>
      </c>
      <c r="O59" s="15" t="str">
        <f aca="false">IF($M59="","",IF($M59&gt;=9,"OUI",""))</f>
        <v/>
      </c>
      <c r="P59" s="16"/>
      <c r="Q59" s="15"/>
      <c r="R59" s="15"/>
      <c r="T59" s="19" t="n">
        <f aca="false">IFERROR(ROUND(VALUE(LEFT(F59,1))*VALUE(LEFT(G59,1))*IFERROR(VLOOKUP($K59,Listes!$E$2:$F$5,2,FALSE()),1),0),0)</f>
        <v>0</v>
      </c>
    </row>
    <row r="60" customFormat="false" ht="15" hidden="false" customHeight="false" outlineLevel="0" collapsed="false">
      <c r="A60" s="15"/>
      <c r="B60" s="16"/>
      <c r="C60" s="16"/>
      <c r="D60" s="17"/>
      <c r="E60" s="17"/>
      <c r="F60" s="15"/>
      <c r="G60" s="15"/>
      <c r="H60" s="18" t="str">
        <f aca="false">IFERROR(VALUE(LEFT(F60,1))*VALUE(LEFT(G60,1)),"")</f>
        <v/>
      </c>
      <c r="I60" s="15" t="str">
        <f aca="false">IF($H60="","",IF($H60&gt;=16,"Critique",IF($H60&gt;=9,"Élevé",IF($H60&gt;=5,"Moyen","Faible"))))</f>
        <v/>
      </c>
      <c r="J60" s="17"/>
      <c r="K60" s="15"/>
      <c r="L60" s="17"/>
      <c r="M60" s="18" t="str">
        <f aca="false">IF($H60="","",ROUND($H60*IFERROR(VLOOKUP($K60,Listes!$E$2:$F$5,2,FALSE()),1),0))</f>
        <v/>
      </c>
      <c r="N60" s="15" t="str">
        <f aca="false">IF($M60="","",IF($M60&gt;=16,"Critique",IF($M60&gt;=9,"Élevé",IF($M60&gt;=5,"Moyen","Faible"))))</f>
        <v/>
      </c>
      <c r="O60" s="15" t="str">
        <f aca="false">IF($M60="","",IF($M60&gt;=9,"OUI",""))</f>
        <v/>
      </c>
      <c r="P60" s="16"/>
      <c r="Q60" s="15"/>
      <c r="R60" s="15"/>
      <c r="T60" s="19" t="n">
        <f aca="false">IFERROR(ROUND(VALUE(LEFT(F60,1))*VALUE(LEFT(G60,1))*IFERROR(VLOOKUP($K60,Listes!$E$2:$F$5,2,FALSE()),1),0),0)</f>
        <v>0</v>
      </c>
    </row>
    <row r="61" customFormat="false" ht="15" hidden="false" customHeight="false" outlineLevel="0" collapsed="false">
      <c r="A61" s="15"/>
      <c r="B61" s="16"/>
      <c r="C61" s="16"/>
      <c r="D61" s="17"/>
      <c r="E61" s="17"/>
      <c r="F61" s="15"/>
      <c r="G61" s="15"/>
      <c r="H61" s="18" t="str">
        <f aca="false">IFERROR(VALUE(LEFT(F61,1))*VALUE(LEFT(G61,1)),"")</f>
        <v/>
      </c>
      <c r="I61" s="15" t="str">
        <f aca="false">IF($H61="","",IF($H61&gt;=16,"Critique",IF($H61&gt;=9,"Élevé",IF($H61&gt;=5,"Moyen","Faible"))))</f>
        <v/>
      </c>
      <c r="J61" s="17"/>
      <c r="K61" s="15"/>
      <c r="L61" s="17"/>
      <c r="M61" s="18" t="str">
        <f aca="false">IF($H61="","",ROUND($H61*IFERROR(VLOOKUP($K61,Listes!$E$2:$F$5,2,FALSE()),1),0))</f>
        <v/>
      </c>
      <c r="N61" s="15" t="str">
        <f aca="false">IF($M61="","",IF($M61&gt;=16,"Critique",IF($M61&gt;=9,"Élevé",IF($M61&gt;=5,"Moyen","Faible"))))</f>
        <v/>
      </c>
      <c r="O61" s="15" t="str">
        <f aca="false">IF($M61="","",IF($M61&gt;=9,"OUI",""))</f>
        <v/>
      </c>
      <c r="P61" s="16"/>
      <c r="Q61" s="15"/>
      <c r="R61" s="15"/>
      <c r="T61" s="19" t="n">
        <f aca="false">IFERROR(ROUND(VALUE(LEFT(F61,1))*VALUE(LEFT(G61,1))*IFERROR(VLOOKUP($K61,Listes!$E$2:$F$5,2,FALSE()),1),0),0)</f>
        <v>0</v>
      </c>
    </row>
    <row r="62" customFormat="false" ht="15" hidden="false" customHeight="false" outlineLevel="0" collapsed="false">
      <c r="A62" s="15"/>
      <c r="B62" s="16"/>
      <c r="C62" s="16"/>
      <c r="D62" s="17"/>
      <c r="E62" s="17"/>
      <c r="F62" s="15"/>
      <c r="G62" s="15"/>
      <c r="H62" s="18" t="str">
        <f aca="false">IFERROR(VALUE(LEFT(F62,1))*VALUE(LEFT(G62,1)),"")</f>
        <v/>
      </c>
      <c r="I62" s="15" t="str">
        <f aca="false">IF($H62="","",IF($H62&gt;=16,"Critique",IF($H62&gt;=9,"Élevé",IF($H62&gt;=5,"Moyen","Faible"))))</f>
        <v/>
      </c>
      <c r="J62" s="17"/>
      <c r="K62" s="15"/>
      <c r="L62" s="17"/>
      <c r="M62" s="18" t="str">
        <f aca="false">IF($H62="","",ROUND($H62*IFERROR(VLOOKUP($K62,Listes!$E$2:$F$5,2,FALSE()),1),0))</f>
        <v/>
      </c>
      <c r="N62" s="15" t="str">
        <f aca="false">IF($M62="","",IF($M62&gt;=16,"Critique",IF($M62&gt;=9,"Élevé",IF($M62&gt;=5,"Moyen","Faible"))))</f>
        <v/>
      </c>
      <c r="O62" s="15" t="str">
        <f aca="false">IF($M62="","",IF($M62&gt;=9,"OUI",""))</f>
        <v/>
      </c>
      <c r="P62" s="16"/>
      <c r="Q62" s="15"/>
      <c r="R62" s="15"/>
      <c r="T62" s="19" t="n">
        <f aca="false">IFERROR(ROUND(VALUE(LEFT(F62,1))*VALUE(LEFT(G62,1))*IFERROR(VLOOKUP($K62,Listes!$E$2:$F$5,2,FALSE()),1),0),0)</f>
        <v>0</v>
      </c>
    </row>
    <row r="63" customFormat="false" ht="15" hidden="false" customHeight="false" outlineLevel="0" collapsed="false">
      <c r="A63" s="15"/>
      <c r="B63" s="16"/>
      <c r="C63" s="16"/>
      <c r="D63" s="17"/>
      <c r="E63" s="17"/>
      <c r="F63" s="15"/>
      <c r="G63" s="15"/>
      <c r="H63" s="18" t="str">
        <f aca="false">IFERROR(VALUE(LEFT(F63,1))*VALUE(LEFT(G63,1)),"")</f>
        <v/>
      </c>
      <c r="I63" s="15" t="str">
        <f aca="false">IF($H63="","",IF($H63&gt;=16,"Critique",IF($H63&gt;=9,"Élevé",IF($H63&gt;=5,"Moyen","Faible"))))</f>
        <v/>
      </c>
      <c r="J63" s="17"/>
      <c r="K63" s="15"/>
      <c r="L63" s="17"/>
      <c r="M63" s="18" t="str">
        <f aca="false">IF($H63="","",ROUND($H63*IFERROR(VLOOKUP($K63,Listes!$E$2:$F$5,2,FALSE()),1),0))</f>
        <v/>
      </c>
      <c r="N63" s="15" t="str">
        <f aca="false">IF($M63="","",IF($M63&gt;=16,"Critique",IF($M63&gt;=9,"Élevé",IF($M63&gt;=5,"Moyen","Faible"))))</f>
        <v/>
      </c>
      <c r="O63" s="15" t="str">
        <f aca="false">IF($M63="","",IF($M63&gt;=9,"OUI",""))</f>
        <v/>
      </c>
      <c r="P63" s="16"/>
      <c r="Q63" s="15"/>
      <c r="R63" s="15"/>
      <c r="T63" s="19" t="n">
        <f aca="false">IFERROR(ROUND(VALUE(LEFT(F63,1))*VALUE(LEFT(G63,1))*IFERROR(VLOOKUP($K63,Listes!$E$2:$F$5,2,FALSE()),1),0),0)</f>
        <v>0</v>
      </c>
    </row>
    <row r="64" customFormat="false" ht="15" hidden="false" customHeight="false" outlineLevel="0" collapsed="false">
      <c r="A64" s="15"/>
      <c r="B64" s="16"/>
      <c r="C64" s="16"/>
      <c r="D64" s="17"/>
      <c r="E64" s="17"/>
      <c r="F64" s="15"/>
      <c r="G64" s="15"/>
      <c r="H64" s="18" t="str">
        <f aca="false">IFERROR(VALUE(LEFT(F64,1))*VALUE(LEFT(G64,1)),"")</f>
        <v/>
      </c>
      <c r="I64" s="15" t="str">
        <f aca="false">IF($H64="","",IF($H64&gt;=16,"Critique",IF($H64&gt;=9,"Élevé",IF($H64&gt;=5,"Moyen","Faible"))))</f>
        <v/>
      </c>
      <c r="J64" s="17"/>
      <c r="K64" s="15"/>
      <c r="L64" s="17"/>
      <c r="M64" s="18" t="str">
        <f aca="false">IF($H64="","",ROUND($H64*IFERROR(VLOOKUP($K64,Listes!$E$2:$F$5,2,FALSE()),1),0))</f>
        <v/>
      </c>
      <c r="N64" s="15" t="str">
        <f aca="false">IF($M64="","",IF($M64&gt;=16,"Critique",IF($M64&gt;=9,"Élevé",IF($M64&gt;=5,"Moyen","Faible"))))</f>
        <v/>
      </c>
      <c r="O64" s="15" t="str">
        <f aca="false">IF($M64="","",IF($M64&gt;=9,"OUI",""))</f>
        <v/>
      </c>
      <c r="P64" s="16"/>
      <c r="Q64" s="15"/>
      <c r="R64" s="15"/>
      <c r="T64" s="19" t="n">
        <f aca="false">IFERROR(ROUND(VALUE(LEFT(F64,1))*VALUE(LEFT(G64,1))*IFERROR(VLOOKUP($K64,Listes!$E$2:$F$5,2,FALSE()),1),0),0)</f>
        <v>0</v>
      </c>
    </row>
    <row r="65" customFormat="false" ht="15" hidden="false" customHeight="false" outlineLevel="0" collapsed="false">
      <c r="A65" s="15"/>
      <c r="B65" s="16"/>
      <c r="C65" s="16"/>
      <c r="D65" s="17"/>
      <c r="E65" s="17"/>
      <c r="F65" s="15"/>
      <c r="G65" s="15"/>
      <c r="H65" s="18" t="str">
        <f aca="false">IFERROR(VALUE(LEFT(F65,1))*VALUE(LEFT(G65,1)),"")</f>
        <v/>
      </c>
      <c r="I65" s="15" t="str">
        <f aca="false">IF($H65="","",IF($H65&gt;=16,"Critique",IF($H65&gt;=9,"Élevé",IF($H65&gt;=5,"Moyen","Faible"))))</f>
        <v/>
      </c>
      <c r="J65" s="17"/>
      <c r="K65" s="15"/>
      <c r="L65" s="17"/>
      <c r="M65" s="18" t="str">
        <f aca="false">IF($H65="","",ROUND($H65*IFERROR(VLOOKUP($K65,Listes!$E$2:$F$5,2,FALSE()),1),0))</f>
        <v/>
      </c>
      <c r="N65" s="15" t="str">
        <f aca="false">IF($M65="","",IF($M65&gt;=16,"Critique",IF($M65&gt;=9,"Élevé",IF($M65&gt;=5,"Moyen","Faible"))))</f>
        <v/>
      </c>
      <c r="O65" s="15" t="str">
        <f aca="false">IF($M65="","",IF($M65&gt;=9,"OUI",""))</f>
        <v/>
      </c>
      <c r="P65" s="16"/>
      <c r="Q65" s="15"/>
      <c r="R65" s="15"/>
      <c r="T65" s="19" t="n">
        <f aca="false">IFERROR(ROUND(VALUE(LEFT(F65,1))*VALUE(LEFT(G65,1))*IFERROR(VLOOKUP($K65,Listes!$E$2:$F$5,2,FALSE()),1),0),0)</f>
        <v>0</v>
      </c>
    </row>
    <row r="66" customFormat="false" ht="15" hidden="false" customHeight="false" outlineLevel="0" collapsed="false">
      <c r="A66" s="15"/>
      <c r="B66" s="16"/>
      <c r="C66" s="16"/>
      <c r="D66" s="17"/>
      <c r="E66" s="17"/>
      <c r="F66" s="15"/>
      <c r="G66" s="15"/>
      <c r="H66" s="18" t="str">
        <f aca="false">IFERROR(VALUE(LEFT(F66,1))*VALUE(LEFT(G66,1)),"")</f>
        <v/>
      </c>
      <c r="I66" s="15" t="str">
        <f aca="false">IF($H66="","",IF($H66&gt;=16,"Critique",IF($H66&gt;=9,"Élevé",IF($H66&gt;=5,"Moyen","Faible"))))</f>
        <v/>
      </c>
      <c r="J66" s="17"/>
      <c r="K66" s="15"/>
      <c r="L66" s="17"/>
      <c r="M66" s="18" t="str">
        <f aca="false">IF($H66="","",ROUND($H66*IFERROR(VLOOKUP($K66,Listes!$E$2:$F$5,2,FALSE()),1),0))</f>
        <v/>
      </c>
      <c r="N66" s="15" t="str">
        <f aca="false">IF($M66="","",IF($M66&gt;=16,"Critique",IF($M66&gt;=9,"Élevé",IF($M66&gt;=5,"Moyen","Faible"))))</f>
        <v/>
      </c>
      <c r="O66" s="15" t="str">
        <f aca="false">IF($M66="","",IF($M66&gt;=9,"OUI",""))</f>
        <v/>
      </c>
      <c r="P66" s="16"/>
      <c r="Q66" s="15"/>
      <c r="R66" s="15"/>
      <c r="T66" s="19" t="n">
        <f aca="false">IFERROR(ROUND(VALUE(LEFT(F66,1))*VALUE(LEFT(G66,1))*IFERROR(VLOOKUP($K66,Listes!$E$2:$F$5,2,FALSE()),1),0),0)</f>
        <v>0</v>
      </c>
    </row>
    <row r="67" customFormat="false" ht="15" hidden="false" customHeight="false" outlineLevel="0" collapsed="false">
      <c r="A67" s="15"/>
      <c r="B67" s="16"/>
      <c r="C67" s="16"/>
      <c r="D67" s="17"/>
      <c r="E67" s="17"/>
      <c r="F67" s="15"/>
      <c r="G67" s="15"/>
      <c r="H67" s="18" t="str">
        <f aca="false">IFERROR(VALUE(LEFT(F67,1))*VALUE(LEFT(G67,1)),"")</f>
        <v/>
      </c>
      <c r="I67" s="15" t="str">
        <f aca="false">IF($H67="","",IF($H67&gt;=16,"Critique",IF($H67&gt;=9,"Élevé",IF($H67&gt;=5,"Moyen","Faible"))))</f>
        <v/>
      </c>
      <c r="J67" s="17"/>
      <c r="K67" s="15"/>
      <c r="L67" s="17"/>
      <c r="M67" s="18" t="str">
        <f aca="false">IF($H67="","",ROUND($H67*IFERROR(VLOOKUP($K67,Listes!$E$2:$F$5,2,FALSE()),1),0))</f>
        <v/>
      </c>
      <c r="N67" s="15" t="str">
        <f aca="false">IF($M67="","",IF($M67&gt;=16,"Critique",IF($M67&gt;=9,"Élevé",IF($M67&gt;=5,"Moyen","Faible"))))</f>
        <v/>
      </c>
      <c r="O67" s="15" t="str">
        <f aca="false">IF($M67="","",IF($M67&gt;=9,"OUI",""))</f>
        <v/>
      </c>
      <c r="P67" s="16"/>
      <c r="Q67" s="15"/>
      <c r="R67" s="15"/>
      <c r="T67" s="19" t="n">
        <f aca="false">IFERROR(ROUND(VALUE(LEFT(F67,1))*VALUE(LEFT(G67,1))*IFERROR(VLOOKUP($K67,Listes!$E$2:$F$5,2,FALSE()),1),0),0)</f>
        <v>0</v>
      </c>
    </row>
    <row r="68" customFormat="false" ht="15" hidden="false" customHeight="false" outlineLevel="0" collapsed="false">
      <c r="A68" s="15"/>
      <c r="B68" s="16"/>
      <c r="C68" s="16"/>
      <c r="D68" s="17"/>
      <c r="E68" s="17"/>
      <c r="F68" s="15"/>
      <c r="G68" s="15"/>
      <c r="H68" s="18" t="str">
        <f aca="false">IFERROR(VALUE(LEFT(F68,1))*VALUE(LEFT(G68,1)),"")</f>
        <v/>
      </c>
      <c r="I68" s="15" t="str">
        <f aca="false">IF($H68="","",IF($H68&gt;=16,"Critique",IF($H68&gt;=9,"Élevé",IF($H68&gt;=5,"Moyen","Faible"))))</f>
        <v/>
      </c>
      <c r="J68" s="17"/>
      <c r="K68" s="15"/>
      <c r="L68" s="17"/>
      <c r="M68" s="18" t="str">
        <f aca="false">IF($H68="","",ROUND($H68*IFERROR(VLOOKUP($K68,Listes!$E$2:$F$5,2,FALSE()),1),0))</f>
        <v/>
      </c>
      <c r="N68" s="15" t="str">
        <f aca="false">IF($M68="","",IF($M68&gt;=16,"Critique",IF($M68&gt;=9,"Élevé",IF($M68&gt;=5,"Moyen","Faible"))))</f>
        <v/>
      </c>
      <c r="O68" s="15" t="str">
        <f aca="false">IF($M68="","",IF($M68&gt;=9,"OUI",""))</f>
        <v/>
      </c>
      <c r="P68" s="16"/>
      <c r="Q68" s="15"/>
      <c r="R68" s="15"/>
      <c r="T68" s="19" t="n">
        <f aca="false">IFERROR(ROUND(VALUE(LEFT(F68,1))*VALUE(LEFT(G68,1))*IFERROR(VLOOKUP($K68,Listes!$E$2:$F$5,2,FALSE()),1),0),0)</f>
        <v>0</v>
      </c>
    </row>
    <row r="69" customFormat="false" ht="15" hidden="false" customHeight="false" outlineLevel="0" collapsed="false">
      <c r="A69" s="15"/>
      <c r="B69" s="16"/>
      <c r="C69" s="16"/>
      <c r="D69" s="17"/>
      <c r="E69" s="17"/>
      <c r="F69" s="15"/>
      <c r="G69" s="15"/>
      <c r="H69" s="18" t="str">
        <f aca="false">IFERROR(VALUE(LEFT(F69,1))*VALUE(LEFT(G69,1)),"")</f>
        <v/>
      </c>
      <c r="I69" s="15" t="str">
        <f aca="false">IF($H69="","",IF($H69&gt;=16,"Critique",IF($H69&gt;=9,"Élevé",IF($H69&gt;=5,"Moyen","Faible"))))</f>
        <v/>
      </c>
      <c r="J69" s="17"/>
      <c r="K69" s="15"/>
      <c r="L69" s="17"/>
      <c r="M69" s="18" t="str">
        <f aca="false">IF($H69="","",ROUND($H69*IFERROR(VLOOKUP($K69,Listes!$E$2:$F$5,2,FALSE()),1),0))</f>
        <v/>
      </c>
      <c r="N69" s="15" t="str">
        <f aca="false">IF($M69="","",IF($M69&gt;=16,"Critique",IF($M69&gt;=9,"Élevé",IF($M69&gt;=5,"Moyen","Faible"))))</f>
        <v/>
      </c>
      <c r="O69" s="15" t="str">
        <f aca="false">IF($M69="","",IF($M69&gt;=9,"OUI",""))</f>
        <v/>
      </c>
      <c r="P69" s="16"/>
      <c r="Q69" s="15"/>
      <c r="R69" s="15"/>
      <c r="T69" s="19" t="n">
        <f aca="false">IFERROR(ROUND(VALUE(LEFT(F69,1))*VALUE(LEFT(G69,1))*IFERROR(VLOOKUP($K69,Listes!$E$2:$F$5,2,FALSE()),1),0),0)</f>
        <v>0</v>
      </c>
    </row>
    <row r="70" customFormat="false" ht="15" hidden="false" customHeight="false" outlineLevel="0" collapsed="false">
      <c r="A70" s="15"/>
      <c r="B70" s="16"/>
      <c r="C70" s="16"/>
      <c r="D70" s="17"/>
      <c r="E70" s="17"/>
      <c r="F70" s="15"/>
      <c r="G70" s="15"/>
      <c r="H70" s="18" t="str">
        <f aca="false">IFERROR(VALUE(LEFT(F70,1))*VALUE(LEFT(G70,1)),"")</f>
        <v/>
      </c>
      <c r="I70" s="15" t="str">
        <f aca="false">IF($H70="","",IF($H70&gt;=16,"Critique",IF($H70&gt;=9,"Élevé",IF($H70&gt;=5,"Moyen","Faible"))))</f>
        <v/>
      </c>
      <c r="J70" s="17"/>
      <c r="K70" s="15"/>
      <c r="L70" s="17"/>
      <c r="M70" s="18" t="str">
        <f aca="false">IF($H70="","",ROUND($H70*IFERROR(VLOOKUP($K70,Listes!$E$2:$F$5,2,FALSE()),1),0))</f>
        <v/>
      </c>
      <c r="N70" s="15" t="str">
        <f aca="false">IF($M70="","",IF($M70&gt;=16,"Critique",IF($M70&gt;=9,"Élevé",IF($M70&gt;=5,"Moyen","Faible"))))</f>
        <v/>
      </c>
      <c r="O70" s="15" t="str">
        <f aca="false">IF($M70="","",IF($M70&gt;=9,"OUI",""))</f>
        <v/>
      </c>
      <c r="P70" s="16"/>
      <c r="Q70" s="15"/>
      <c r="R70" s="15"/>
      <c r="T70" s="19" t="n">
        <f aca="false">IFERROR(ROUND(VALUE(LEFT(F70,1))*VALUE(LEFT(G70,1))*IFERROR(VLOOKUP($K70,Listes!$E$2:$F$5,2,FALSE()),1),0),0)</f>
        <v>0</v>
      </c>
    </row>
    <row r="71" customFormat="false" ht="15" hidden="false" customHeight="false" outlineLevel="0" collapsed="false">
      <c r="A71" s="15"/>
      <c r="B71" s="16"/>
      <c r="C71" s="16"/>
      <c r="D71" s="17"/>
      <c r="E71" s="17"/>
      <c r="F71" s="15"/>
      <c r="G71" s="15"/>
      <c r="H71" s="18" t="str">
        <f aca="false">IFERROR(VALUE(LEFT(F71,1))*VALUE(LEFT(G71,1)),"")</f>
        <v/>
      </c>
      <c r="I71" s="15" t="str">
        <f aca="false">IF($H71="","",IF($H71&gt;=16,"Critique",IF($H71&gt;=9,"Élevé",IF($H71&gt;=5,"Moyen","Faible"))))</f>
        <v/>
      </c>
      <c r="J71" s="17"/>
      <c r="K71" s="15"/>
      <c r="L71" s="17"/>
      <c r="M71" s="18" t="str">
        <f aca="false">IF($H71="","",ROUND($H71*IFERROR(VLOOKUP($K71,Listes!$E$2:$F$5,2,FALSE()),1),0))</f>
        <v/>
      </c>
      <c r="N71" s="15" t="str">
        <f aca="false">IF($M71="","",IF($M71&gt;=16,"Critique",IF($M71&gt;=9,"Élevé",IF($M71&gt;=5,"Moyen","Faible"))))</f>
        <v/>
      </c>
      <c r="O71" s="15" t="str">
        <f aca="false">IF($M71="","",IF($M71&gt;=9,"OUI",""))</f>
        <v/>
      </c>
      <c r="P71" s="16"/>
      <c r="Q71" s="15"/>
      <c r="R71" s="15"/>
      <c r="T71" s="19" t="n">
        <f aca="false">IFERROR(ROUND(VALUE(LEFT(F71,1))*VALUE(LEFT(G71,1))*IFERROR(VLOOKUP($K71,Listes!$E$2:$F$5,2,FALSE()),1),0),0)</f>
        <v>0</v>
      </c>
    </row>
    <row r="72" customFormat="false" ht="15" hidden="false" customHeight="false" outlineLevel="0" collapsed="false">
      <c r="A72" s="15"/>
      <c r="B72" s="16"/>
      <c r="C72" s="16"/>
      <c r="D72" s="17"/>
      <c r="E72" s="17"/>
      <c r="F72" s="15"/>
      <c r="G72" s="15"/>
      <c r="H72" s="18" t="str">
        <f aca="false">IFERROR(VALUE(LEFT(F72,1))*VALUE(LEFT(G72,1)),"")</f>
        <v/>
      </c>
      <c r="I72" s="15" t="str">
        <f aca="false">IF($H72="","",IF($H72&gt;=16,"Critique",IF($H72&gt;=9,"Élevé",IF($H72&gt;=5,"Moyen","Faible"))))</f>
        <v/>
      </c>
      <c r="J72" s="17"/>
      <c r="K72" s="15"/>
      <c r="L72" s="17"/>
      <c r="M72" s="18" t="str">
        <f aca="false">IF($H72="","",ROUND($H72*IFERROR(VLOOKUP($K72,Listes!$E$2:$F$5,2,FALSE()),1),0))</f>
        <v/>
      </c>
      <c r="N72" s="15" t="str">
        <f aca="false">IF($M72="","",IF($M72&gt;=16,"Critique",IF($M72&gt;=9,"Élevé",IF($M72&gt;=5,"Moyen","Faible"))))</f>
        <v/>
      </c>
      <c r="O72" s="15" t="str">
        <f aca="false">IF($M72="","",IF($M72&gt;=9,"OUI",""))</f>
        <v/>
      </c>
      <c r="P72" s="16"/>
      <c r="Q72" s="15"/>
      <c r="R72" s="15"/>
      <c r="T72" s="19" t="n">
        <f aca="false">IFERROR(ROUND(VALUE(LEFT(F72,1))*VALUE(LEFT(G72,1))*IFERROR(VLOOKUP($K72,Listes!$E$2:$F$5,2,FALSE()),1),0),0)</f>
        <v>0</v>
      </c>
    </row>
    <row r="73" customFormat="false" ht="15" hidden="false" customHeight="false" outlineLevel="0" collapsed="false">
      <c r="A73" s="15"/>
      <c r="B73" s="16"/>
      <c r="C73" s="16"/>
      <c r="D73" s="17"/>
      <c r="E73" s="17"/>
      <c r="F73" s="15"/>
      <c r="G73" s="15"/>
      <c r="H73" s="18" t="str">
        <f aca="false">IFERROR(VALUE(LEFT(F73,1))*VALUE(LEFT(G73,1)),"")</f>
        <v/>
      </c>
      <c r="I73" s="15" t="str">
        <f aca="false">IF($H73="","",IF($H73&gt;=16,"Critique",IF($H73&gt;=9,"Élevé",IF($H73&gt;=5,"Moyen","Faible"))))</f>
        <v/>
      </c>
      <c r="J73" s="17"/>
      <c r="K73" s="15"/>
      <c r="L73" s="17"/>
      <c r="M73" s="18" t="str">
        <f aca="false">IF($H73="","",ROUND($H73*IFERROR(VLOOKUP($K73,Listes!$E$2:$F$5,2,FALSE()),1),0))</f>
        <v/>
      </c>
      <c r="N73" s="15" t="str">
        <f aca="false">IF($M73="","",IF($M73&gt;=16,"Critique",IF($M73&gt;=9,"Élevé",IF($M73&gt;=5,"Moyen","Faible"))))</f>
        <v/>
      </c>
      <c r="O73" s="15" t="str">
        <f aca="false">IF($M73="","",IF($M73&gt;=9,"OUI",""))</f>
        <v/>
      </c>
      <c r="P73" s="16"/>
      <c r="Q73" s="15"/>
      <c r="R73" s="15"/>
      <c r="T73" s="19" t="n">
        <f aca="false">IFERROR(ROUND(VALUE(LEFT(F73,1))*VALUE(LEFT(G73,1))*IFERROR(VLOOKUP($K73,Listes!$E$2:$F$5,2,FALSE()),1),0),0)</f>
        <v>0</v>
      </c>
    </row>
    <row r="74" customFormat="false" ht="15" hidden="false" customHeight="false" outlineLevel="0" collapsed="false">
      <c r="A74" s="15"/>
      <c r="B74" s="16"/>
      <c r="C74" s="16"/>
      <c r="D74" s="17"/>
      <c r="E74" s="17"/>
      <c r="F74" s="15"/>
      <c r="G74" s="15"/>
      <c r="H74" s="18" t="str">
        <f aca="false">IFERROR(VALUE(LEFT(F74,1))*VALUE(LEFT(G74,1)),"")</f>
        <v/>
      </c>
      <c r="I74" s="15" t="str">
        <f aca="false">IF($H74="","",IF($H74&gt;=16,"Critique",IF($H74&gt;=9,"Élevé",IF($H74&gt;=5,"Moyen","Faible"))))</f>
        <v/>
      </c>
      <c r="J74" s="17"/>
      <c r="K74" s="15"/>
      <c r="L74" s="17"/>
      <c r="M74" s="18" t="str">
        <f aca="false">IF($H74="","",ROUND($H74*IFERROR(VLOOKUP($K74,Listes!$E$2:$F$5,2,FALSE()),1),0))</f>
        <v/>
      </c>
      <c r="N74" s="15" t="str">
        <f aca="false">IF($M74="","",IF($M74&gt;=16,"Critique",IF($M74&gt;=9,"Élevé",IF($M74&gt;=5,"Moyen","Faible"))))</f>
        <v/>
      </c>
      <c r="O74" s="15" t="str">
        <f aca="false">IF($M74="","",IF($M74&gt;=9,"OUI",""))</f>
        <v/>
      </c>
      <c r="P74" s="16"/>
      <c r="Q74" s="15"/>
      <c r="R74" s="15"/>
      <c r="T74" s="19" t="n">
        <f aca="false">IFERROR(ROUND(VALUE(LEFT(F74,1))*VALUE(LEFT(G74,1))*IFERROR(VLOOKUP($K74,Listes!$E$2:$F$5,2,FALSE()),1),0),0)</f>
        <v>0</v>
      </c>
    </row>
    <row r="75" customFormat="false" ht="15" hidden="false" customHeight="false" outlineLevel="0" collapsed="false">
      <c r="A75" s="15"/>
      <c r="B75" s="16"/>
      <c r="C75" s="16"/>
      <c r="D75" s="17"/>
      <c r="E75" s="17"/>
      <c r="F75" s="15"/>
      <c r="G75" s="15"/>
      <c r="H75" s="18" t="str">
        <f aca="false">IFERROR(VALUE(LEFT(F75,1))*VALUE(LEFT(G75,1)),"")</f>
        <v/>
      </c>
      <c r="I75" s="15" t="str">
        <f aca="false">IF($H75="","",IF($H75&gt;=16,"Critique",IF($H75&gt;=9,"Élevé",IF($H75&gt;=5,"Moyen","Faible"))))</f>
        <v/>
      </c>
      <c r="J75" s="17"/>
      <c r="K75" s="15"/>
      <c r="L75" s="17"/>
      <c r="M75" s="18" t="str">
        <f aca="false">IF($H75="","",ROUND($H75*IFERROR(VLOOKUP($K75,Listes!$E$2:$F$5,2,FALSE()),1),0))</f>
        <v/>
      </c>
      <c r="N75" s="15" t="str">
        <f aca="false">IF($M75="","",IF($M75&gt;=16,"Critique",IF($M75&gt;=9,"Élevé",IF($M75&gt;=5,"Moyen","Faible"))))</f>
        <v/>
      </c>
      <c r="O75" s="15" t="str">
        <f aca="false">IF($M75="","",IF($M75&gt;=9,"OUI",""))</f>
        <v/>
      </c>
      <c r="P75" s="16"/>
      <c r="Q75" s="15"/>
      <c r="R75" s="15"/>
      <c r="T75" s="19" t="n">
        <f aca="false">IFERROR(ROUND(VALUE(LEFT(F75,1))*VALUE(LEFT(G75,1))*IFERROR(VLOOKUP($K75,Listes!$E$2:$F$5,2,FALSE()),1),0),0)</f>
        <v>0</v>
      </c>
    </row>
    <row r="76" customFormat="false" ht="15" hidden="false" customHeight="false" outlineLevel="0" collapsed="false">
      <c r="A76" s="15"/>
      <c r="B76" s="16"/>
      <c r="C76" s="16"/>
      <c r="D76" s="17"/>
      <c r="E76" s="17"/>
      <c r="F76" s="15"/>
      <c r="G76" s="15"/>
      <c r="H76" s="18" t="str">
        <f aca="false">IFERROR(VALUE(LEFT(F76,1))*VALUE(LEFT(G76,1)),"")</f>
        <v/>
      </c>
      <c r="I76" s="15" t="str">
        <f aca="false">IF($H76="","",IF($H76&gt;=16,"Critique",IF($H76&gt;=9,"Élevé",IF($H76&gt;=5,"Moyen","Faible"))))</f>
        <v/>
      </c>
      <c r="J76" s="17"/>
      <c r="K76" s="15"/>
      <c r="L76" s="17"/>
      <c r="M76" s="18" t="str">
        <f aca="false">IF($H76="","",ROUND($H76*IFERROR(VLOOKUP($K76,Listes!$E$2:$F$5,2,FALSE()),1),0))</f>
        <v/>
      </c>
      <c r="N76" s="15" t="str">
        <f aca="false">IF($M76="","",IF($M76&gt;=16,"Critique",IF($M76&gt;=9,"Élevé",IF($M76&gt;=5,"Moyen","Faible"))))</f>
        <v/>
      </c>
      <c r="O76" s="15" t="str">
        <f aca="false">IF($M76="","",IF($M76&gt;=9,"OUI",""))</f>
        <v/>
      </c>
      <c r="P76" s="16"/>
      <c r="Q76" s="15"/>
      <c r="R76" s="15"/>
      <c r="T76" s="19" t="n">
        <f aca="false">IFERROR(ROUND(VALUE(LEFT(F76,1))*VALUE(LEFT(G76,1))*IFERROR(VLOOKUP($K76,Listes!$E$2:$F$5,2,FALSE()),1),0),0)</f>
        <v>0</v>
      </c>
    </row>
    <row r="77" customFormat="false" ht="15" hidden="false" customHeight="false" outlineLevel="0" collapsed="false">
      <c r="A77" s="15"/>
      <c r="B77" s="16"/>
      <c r="C77" s="16"/>
      <c r="D77" s="17"/>
      <c r="E77" s="17"/>
      <c r="F77" s="15"/>
      <c r="G77" s="15"/>
      <c r="H77" s="18" t="str">
        <f aca="false">IFERROR(VALUE(LEFT(F77,1))*VALUE(LEFT(G77,1)),"")</f>
        <v/>
      </c>
      <c r="I77" s="15" t="str">
        <f aca="false">IF($H77="","",IF($H77&gt;=16,"Critique",IF($H77&gt;=9,"Élevé",IF($H77&gt;=5,"Moyen","Faible"))))</f>
        <v/>
      </c>
      <c r="J77" s="17"/>
      <c r="K77" s="15"/>
      <c r="L77" s="17"/>
      <c r="M77" s="18" t="str">
        <f aca="false">IF($H77="","",ROUND($H77*IFERROR(VLOOKUP($K77,Listes!$E$2:$F$5,2,FALSE()),1),0))</f>
        <v/>
      </c>
      <c r="N77" s="15" t="str">
        <f aca="false">IF($M77="","",IF($M77&gt;=16,"Critique",IF($M77&gt;=9,"Élevé",IF($M77&gt;=5,"Moyen","Faible"))))</f>
        <v/>
      </c>
      <c r="O77" s="15" t="str">
        <f aca="false">IF($M77="","",IF($M77&gt;=9,"OUI",""))</f>
        <v/>
      </c>
      <c r="P77" s="16"/>
      <c r="Q77" s="15"/>
      <c r="R77" s="15"/>
      <c r="T77" s="19" t="n">
        <f aca="false">IFERROR(ROUND(VALUE(LEFT(F77,1))*VALUE(LEFT(G77,1))*IFERROR(VLOOKUP($K77,Listes!$E$2:$F$5,2,FALSE()),1),0),0)</f>
        <v>0</v>
      </c>
    </row>
    <row r="78" customFormat="false" ht="15" hidden="false" customHeight="false" outlineLevel="0" collapsed="false">
      <c r="A78" s="15"/>
      <c r="B78" s="16"/>
      <c r="C78" s="16"/>
      <c r="D78" s="17"/>
      <c r="E78" s="17"/>
      <c r="F78" s="15"/>
      <c r="G78" s="15"/>
      <c r="H78" s="18" t="str">
        <f aca="false">IFERROR(VALUE(LEFT(F78,1))*VALUE(LEFT(G78,1)),"")</f>
        <v/>
      </c>
      <c r="I78" s="15" t="str">
        <f aca="false">IF($H78="","",IF($H78&gt;=16,"Critique",IF($H78&gt;=9,"Élevé",IF($H78&gt;=5,"Moyen","Faible"))))</f>
        <v/>
      </c>
      <c r="J78" s="17"/>
      <c r="K78" s="15"/>
      <c r="L78" s="17"/>
      <c r="M78" s="18" t="str">
        <f aca="false">IF($H78="","",ROUND($H78*IFERROR(VLOOKUP($K78,Listes!$E$2:$F$5,2,FALSE()),1),0))</f>
        <v/>
      </c>
      <c r="N78" s="15" t="str">
        <f aca="false">IF($M78="","",IF($M78&gt;=16,"Critique",IF($M78&gt;=9,"Élevé",IF($M78&gt;=5,"Moyen","Faible"))))</f>
        <v/>
      </c>
      <c r="O78" s="15" t="str">
        <f aca="false">IF($M78="","",IF($M78&gt;=9,"OUI",""))</f>
        <v/>
      </c>
      <c r="P78" s="16"/>
      <c r="Q78" s="15"/>
      <c r="R78" s="15"/>
      <c r="T78" s="19" t="n">
        <f aca="false">IFERROR(ROUND(VALUE(LEFT(F78,1))*VALUE(LEFT(G78,1))*IFERROR(VLOOKUP($K78,Listes!$E$2:$F$5,2,FALSE()),1),0),0)</f>
        <v>0</v>
      </c>
    </row>
    <row r="79" customFormat="false" ht="15" hidden="false" customHeight="false" outlineLevel="0" collapsed="false">
      <c r="A79" s="15"/>
      <c r="B79" s="16"/>
      <c r="C79" s="16"/>
      <c r="D79" s="17"/>
      <c r="E79" s="17"/>
      <c r="F79" s="15"/>
      <c r="G79" s="15"/>
      <c r="H79" s="18" t="str">
        <f aca="false">IFERROR(VALUE(LEFT(F79,1))*VALUE(LEFT(G79,1)),"")</f>
        <v/>
      </c>
      <c r="I79" s="15" t="str">
        <f aca="false">IF($H79="","",IF($H79&gt;=16,"Critique",IF($H79&gt;=9,"Élevé",IF($H79&gt;=5,"Moyen","Faible"))))</f>
        <v/>
      </c>
      <c r="J79" s="17"/>
      <c r="K79" s="15"/>
      <c r="L79" s="17"/>
      <c r="M79" s="18" t="str">
        <f aca="false">IF($H79="","",ROUND($H79*IFERROR(VLOOKUP($K79,Listes!$E$2:$F$5,2,FALSE()),1),0))</f>
        <v/>
      </c>
      <c r="N79" s="15" t="str">
        <f aca="false">IF($M79="","",IF($M79&gt;=16,"Critique",IF($M79&gt;=9,"Élevé",IF($M79&gt;=5,"Moyen","Faible"))))</f>
        <v/>
      </c>
      <c r="O79" s="15" t="str">
        <f aca="false">IF($M79="","",IF($M79&gt;=9,"OUI",""))</f>
        <v/>
      </c>
      <c r="P79" s="16"/>
      <c r="Q79" s="15"/>
      <c r="R79" s="15"/>
      <c r="T79" s="19" t="n">
        <f aca="false">IFERROR(ROUND(VALUE(LEFT(F79,1))*VALUE(LEFT(G79,1))*IFERROR(VLOOKUP($K79,Listes!$E$2:$F$5,2,FALSE()),1),0),0)</f>
        <v>0</v>
      </c>
    </row>
    <row r="80" customFormat="false" ht="15" hidden="false" customHeight="false" outlineLevel="0" collapsed="false">
      <c r="A80" s="15"/>
      <c r="B80" s="16"/>
      <c r="C80" s="16"/>
      <c r="D80" s="17"/>
      <c r="E80" s="17"/>
      <c r="F80" s="15"/>
      <c r="G80" s="15"/>
      <c r="H80" s="18" t="str">
        <f aca="false">IFERROR(VALUE(LEFT(F80,1))*VALUE(LEFT(G80,1)),"")</f>
        <v/>
      </c>
      <c r="I80" s="15" t="str">
        <f aca="false">IF($H80="","",IF($H80&gt;=16,"Critique",IF($H80&gt;=9,"Élevé",IF($H80&gt;=5,"Moyen","Faible"))))</f>
        <v/>
      </c>
      <c r="J80" s="17"/>
      <c r="K80" s="15"/>
      <c r="L80" s="17"/>
      <c r="M80" s="18" t="str">
        <f aca="false">IF($H80="","",ROUND($H80*IFERROR(VLOOKUP($K80,Listes!$E$2:$F$5,2,FALSE()),1),0))</f>
        <v/>
      </c>
      <c r="N80" s="15" t="str">
        <f aca="false">IF($M80="","",IF($M80&gt;=16,"Critique",IF($M80&gt;=9,"Élevé",IF($M80&gt;=5,"Moyen","Faible"))))</f>
        <v/>
      </c>
      <c r="O80" s="15" t="str">
        <f aca="false">IF($M80="","",IF($M80&gt;=9,"OUI",""))</f>
        <v/>
      </c>
      <c r="P80" s="16"/>
      <c r="Q80" s="15"/>
      <c r="R80" s="15"/>
      <c r="T80" s="19" t="n">
        <f aca="false">IFERROR(ROUND(VALUE(LEFT(F80,1))*VALUE(LEFT(G80,1))*IFERROR(VLOOKUP($K80,Listes!$E$2:$F$5,2,FALSE()),1),0),0)</f>
        <v>0</v>
      </c>
    </row>
    <row r="81" customFormat="false" ht="15" hidden="false" customHeight="false" outlineLevel="0" collapsed="false">
      <c r="A81" s="15"/>
      <c r="B81" s="16"/>
      <c r="C81" s="16"/>
      <c r="D81" s="17"/>
      <c r="E81" s="17"/>
      <c r="F81" s="15"/>
      <c r="G81" s="15"/>
      <c r="H81" s="18" t="str">
        <f aca="false">IFERROR(VALUE(LEFT(F81,1))*VALUE(LEFT(G81,1)),"")</f>
        <v/>
      </c>
      <c r="I81" s="15" t="str">
        <f aca="false">IF($H81="","",IF($H81&gt;=16,"Critique",IF($H81&gt;=9,"Élevé",IF($H81&gt;=5,"Moyen","Faible"))))</f>
        <v/>
      </c>
      <c r="J81" s="17"/>
      <c r="K81" s="15"/>
      <c r="L81" s="17"/>
      <c r="M81" s="18" t="str">
        <f aca="false">IF($H81="","",ROUND($H81*IFERROR(VLOOKUP($K81,Listes!$E$2:$F$5,2,FALSE()),1),0))</f>
        <v/>
      </c>
      <c r="N81" s="15" t="str">
        <f aca="false">IF($M81="","",IF($M81&gt;=16,"Critique",IF($M81&gt;=9,"Élevé",IF($M81&gt;=5,"Moyen","Faible"))))</f>
        <v/>
      </c>
      <c r="O81" s="15" t="str">
        <f aca="false">IF($M81="","",IF($M81&gt;=9,"OUI",""))</f>
        <v/>
      </c>
      <c r="P81" s="16"/>
      <c r="Q81" s="15"/>
      <c r="R81" s="15"/>
      <c r="T81" s="19" t="n">
        <f aca="false">IFERROR(ROUND(VALUE(LEFT(F81,1))*VALUE(LEFT(G81,1))*IFERROR(VLOOKUP($K81,Listes!$E$2:$F$5,2,FALSE()),1),0),0)</f>
        <v>0</v>
      </c>
    </row>
    <row r="82" customFormat="false" ht="15" hidden="false" customHeight="false" outlineLevel="0" collapsed="false">
      <c r="A82" s="15"/>
      <c r="B82" s="16"/>
      <c r="C82" s="16"/>
      <c r="D82" s="17"/>
      <c r="E82" s="17"/>
      <c r="F82" s="15"/>
      <c r="G82" s="15"/>
      <c r="H82" s="18" t="str">
        <f aca="false">IFERROR(VALUE(LEFT(F82,1))*VALUE(LEFT(G82,1)),"")</f>
        <v/>
      </c>
      <c r="I82" s="15" t="str">
        <f aca="false">IF($H82="","",IF($H82&gt;=16,"Critique",IF($H82&gt;=9,"Élevé",IF($H82&gt;=5,"Moyen","Faible"))))</f>
        <v/>
      </c>
      <c r="J82" s="17"/>
      <c r="K82" s="15"/>
      <c r="L82" s="17"/>
      <c r="M82" s="18" t="str">
        <f aca="false">IF($H82="","",ROUND($H82*IFERROR(VLOOKUP($K82,Listes!$E$2:$F$5,2,FALSE()),1),0))</f>
        <v/>
      </c>
      <c r="N82" s="15" t="str">
        <f aca="false">IF($M82="","",IF($M82&gt;=16,"Critique",IF($M82&gt;=9,"Élevé",IF($M82&gt;=5,"Moyen","Faible"))))</f>
        <v/>
      </c>
      <c r="O82" s="15" t="str">
        <f aca="false">IF($M82="","",IF($M82&gt;=9,"OUI",""))</f>
        <v/>
      </c>
      <c r="P82" s="16"/>
      <c r="Q82" s="15"/>
      <c r="R82" s="15"/>
      <c r="T82" s="19" t="n">
        <f aca="false">IFERROR(ROUND(VALUE(LEFT(F82,1))*VALUE(LEFT(G82,1))*IFERROR(VLOOKUP($K82,Listes!$E$2:$F$5,2,FALSE()),1),0),0)</f>
        <v>0</v>
      </c>
    </row>
    <row r="83" customFormat="false" ht="15" hidden="false" customHeight="false" outlineLevel="0" collapsed="false">
      <c r="A83" s="15"/>
      <c r="B83" s="16"/>
      <c r="C83" s="16"/>
      <c r="D83" s="17"/>
      <c r="E83" s="17"/>
      <c r="F83" s="15"/>
      <c r="G83" s="15"/>
      <c r="H83" s="18" t="str">
        <f aca="false">IFERROR(VALUE(LEFT(F83,1))*VALUE(LEFT(G83,1)),"")</f>
        <v/>
      </c>
      <c r="I83" s="15" t="str">
        <f aca="false">IF($H83="","",IF($H83&gt;=16,"Critique",IF($H83&gt;=9,"Élevé",IF($H83&gt;=5,"Moyen","Faible"))))</f>
        <v/>
      </c>
      <c r="J83" s="17"/>
      <c r="K83" s="15"/>
      <c r="L83" s="17"/>
      <c r="M83" s="18" t="str">
        <f aca="false">IF($H83="","",ROUND($H83*IFERROR(VLOOKUP($K83,Listes!$E$2:$F$5,2,FALSE()),1),0))</f>
        <v/>
      </c>
      <c r="N83" s="15" t="str">
        <f aca="false">IF($M83="","",IF($M83&gt;=16,"Critique",IF($M83&gt;=9,"Élevé",IF($M83&gt;=5,"Moyen","Faible"))))</f>
        <v/>
      </c>
      <c r="O83" s="15" t="str">
        <f aca="false">IF($M83="","",IF($M83&gt;=9,"OUI",""))</f>
        <v/>
      </c>
      <c r="P83" s="16"/>
      <c r="Q83" s="15"/>
      <c r="R83" s="15"/>
      <c r="T83" s="19" t="n">
        <f aca="false">IFERROR(ROUND(VALUE(LEFT(F83,1))*VALUE(LEFT(G83,1))*IFERROR(VLOOKUP($K83,Listes!$E$2:$F$5,2,FALSE()),1),0),0)</f>
        <v>0</v>
      </c>
    </row>
    <row r="84" customFormat="false" ht="15" hidden="false" customHeight="false" outlineLevel="0" collapsed="false">
      <c r="A84" s="15"/>
      <c r="B84" s="16"/>
      <c r="C84" s="16"/>
      <c r="D84" s="17"/>
      <c r="E84" s="17"/>
      <c r="F84" s="15"/>
      <c r="G84" s="15"/>
      <c r="H84" s="18" t="str">
        <f aca="false">IFERROR(VALUE(LEFT(F84,1))*VALUE(LEFT(G84,1)),"")</f>
        <v/>
      </c>
      <c r="I84" s="15" t="str">
        <f aca="false">IF($H84="","",IF($H84&gt;=16,"Critique",IF($H84&gt;=9,"Élevé",IF($H84&gt;=5,"Moyen","Faible"))))</f>
        <v/>
      </c>
      <c r="J84" s="17"/>
      <c r="K84" s="15"/>
      <c r="L84" s="17"/>
      <c r="M84" s="18" t="str">
        <f aca="false">IF($H84="","",ROUND($H84*IFERROR(VLOOKUP($K84,Listes!$E$2:$F$5,2,FALSE()),1),0))</f>
        <v/>
      </c>
      <c r="N84" s="15" t="str">
        <f aca="false">IF($M84="","",IF($M84&gt;=16,"Critique",IF($M84&gt;=9,"Élevé",IF($M84&gt;=5,"Moyen","Faible"))))</f>
        <v/>
      </c>
      <c r="O84" s="15" t="str">
        <f aca="false">IF($M84="","",IF($M84&gt;=9,"OUI",""))</f>
        <v/>
      </c>
      <c r="P84" s="16"/>
      <c r="Q84" s="15"/>
      <c r="R84" s="15"/>
      <c r="T84" s="19" t="n">
        <f aca="false">IFERROR(ROUND(VALUE(LEFT(F84,1))*VALUE(LEFT(G84,1))*IFERROR(VLOOKUP($K84,Listes!$E$2:$F$5,2,FALSE()),1),0),0)</f>
        <v>0</v>
      </c>
    </row>
    <row r="85" customFormat="false" ht="15" hidden="false" customHeight="false" outlineLevel="0" collapsed="false">
      <c r="A85" s="15"/>
      <c r="B85" s="16"/>
      <c r="C85" s="16"/>
      <c r="D85" s="17"/>
      <c r="E85" s="17"/>
      <c r="F85" s="15"/>
      <c r="G85" s="15"/>
      <c r="H85" s="18" t="str">
        <f aca="false">IFERROR(VALUE(LEFT(F85,1))*VALUE(LEFT(G85,1)),"")</f>
        <v/>
      </c>
      <c r="I85" s="15" t="str">
        <f aca="false">IF($H85="","",IF($H85&gt;=16,"Critique",IF($H85&gt;=9,"Élevé",IF($H85&gt;=5,"Moyen","Faible"))))</f>
        <v/>
      </c>
      <c r="J85" s="17"/>
      <c r="K85" s="15"/>
      <c r="L85" s="17"/>
      <c r="M85" s="18" t="str">
        <f aca="false">IF($H85="","",ROUND($H85*IFERROR(VLOOKUP($K85,Listes!$E$2:$F$5,2,FALSE()),1),0))</f>
        <v/>
      </c>
      <c r="N85" s="15" t="str">
        <f aca="false">IF($M85="","",IF($M85&gt;=16,"Critique",IF($M85&gt;=9,"Élevé",IF($M85&gt;=5,"Moyen","Faible"))))</f>
        <v/>
      </c>
      <c r="O85" s="15" t="str">
        <f aca="false">IF($M85="","",IF($M85&gt;=9,"OUI",""))</f>
        <v/>
      </c>
      <c r="P85" s="16"/>
      <c r="Q85" s="15"/>
      <c r="R85" s="15"/>
      <c r="T85" s="19" t="n">
        <f aca="false">IFERROR(ROUND(VALUE(LEFT(F85,1))*VALUE(LEFT(G85,1))*IFERROR(VLOOKUP($K85,Listes!$E$2:$F$5,2,FALSE()),1),0),0)</f>
        <v>0</v>
      </c>
    </row>
    <row r="86" customFormat="false" ht="15" hidden="false" customHeight="false" outlineLevel="0" collapsed="false">
      <c r="A86" s="15"/>
      <c r="B86" s="16"/>
      <c r="C86" s="16"/>
      <c r="D86" s="17"/>
      <c r="E86" s="17"/>
      <c r="F86" s="15"/>
      <c r="G86" s="15"/>
      <c r="H86" s="18" t="str">
        <f aca="false">IFERROR(VALUE(LEFT(F86,1))*VALUE(LEFT(G86,1)),"")</f>
        <v/>
      </c>
      <c r="I86" s="15" t="str">
        <f aca="false">IF($H86="","",IF($H86&gt;=16,"Critique",IF($H86&gt;=9,"Élevé",IF($H86&gt;=5,"Moyen","Faible"))))</f>
        <v/>
      </c>
      <c r="J86" s="17"/>
      <c r="K86" s="15"/>
      <c r="L86" s="17"/>
      <c r="M86" s="18" t="str">
        <f aca="false">IF($H86="","",ROUND($H86*IFERROR(VLOOKUP($K86,Listes!$E$2:$F$5,2,FALSE()),1),0))</f>
        <v/>
      </c>
      <c r="N86" s="15" t="str">
        <f aca="false">IF($M86="","",IF($M86&gt;=16,"Critique",IF($M86&gt;=9,"Élevé",IF($M86&gt;=5,"Moyen","Faible"))))</f>
        <v/>
      </c>
      <c r="O86" s="15" t="str">
        <f aca="false">IF($M86="","",IF($M86&gt;=9,"OUI",""))</f>
        <v/>
      </c>
      <c r="P86" s="16"/>
      <c r="Q86" s="15"/>
      <c r="R86" s="15"/>
      <c r="T86" s="19" t="n">
        <f aca="false">IFERROR(ROUND(VALUE(LEFT(F86,1))*VALUE(LEFT(G86,1))*IFERROR(VLOOKUP($K86,Listes!$E$2:$F$5,2,FALSE()),1),0),0)</f>
        <v>0</v>
      </c>
    </row>
    <row r="87" customFormat="false" ht="15" hidden="false" customHeight="false" outlineLevel="0" collapsed="false">
      <c r="A87" s="15"/>
      <c r="B87" s="16"/>
      <c r="C87" s="16"/>
      <c r="D87" s="17"/>
      <c r="E87" s="17"/>
      <c r="F87" s="15"/>
      <c r="G87" s="15"/>
      <c r="H87" s="18" t="str">
        <f aca="false">IFERROR(VALUE(LEFT(F87,1))*VALUE(LEFT(G87,1)),"")</f>
        <v/>
      </c>
      <c r="I87" s="15" t="str">
        <f aca="false">IF($H87="","",IF($H87&gt;=16,"Critique",IF($H87&gt;=9,"Élevé",IF($H87&gt;=5,"Moyen","Faible"))))</f>
        <v/>
      </c>
      <c r="J87" s="17"/>
      <c r="K87" s="15"/>
      <c r="L87" s="17"/>
      <c r="M87" s="18" t="str">
        <f aca="false">IF($H87="","",ROUND($H87*IFERROR(VLOOKUP($K87,Listes!$E$2:$F$5,2,FALSE()),1),0))</f>
        <v/>
      </c>
      <c r="N87" s="15" t="str">
        <f aca="false">IF($M87="","",IF($M87&gt;=16,"Critique",IF($M87&gt;=9,"Élevé",IF($M87&gt;=5,"Moyen","Faible"))))</f>
        <v/>
      </c>
      <c r="O87" s="15" t="str">
        <f aca="false">IF($M87="","",IF($M87&gt;=9,"OUI",""))</f>
        <v/>
      </c>
      <c r="P87" s="16"/>
      <c r="Q87" s="15"/>
      <c r="R87" s="15"/>
      <c r="T87" s="19" t="n">
        <f aca="false">IFERROR(ROUND(VALUE(LEFT(F87,1))*VALUE(LEFT(G87,1))*IFERROR(VLOOKUP($K87,Listes!$E$2:$F$5,2,FALSE()),1),0),0)</f>
        <v>0</v>
      </c>
    </row>
    <row r="88" customFormat="false" ht="15" hidden="false" customHeight="false" outlineLevel="0" collapsed="false">
      <c r="A88" s="15"/>
      <c r="B88" s="16"/>
      <c r="C88" s="16"/>
      <c r="D88" s="17"/>
      <c r="E88" s="17"/>
      <c r="F88" s="15"/>
      <c r="G88" s="15"/>
      <c r="H88" s="18" t="str">
        <f aca="false">IFERROR(VALUE(LEFT(F88,1))*VALUE(LEFT(G88,1)),"")</f>
        <v/>
      </c>
      <c r="I88" s="15" t="str">
        <f aca="false">IF($H88="","",IF($H88&gt;=16,"Critique",IF($H88&gt;=9,"Élevé",IF($H88&gt;=5,"Moyen","Faible"))))</f>
        <v/>
      </c>
      <c r="J88" s="17"/>
      <c r="K88" s="15"/>
      <c r="L88" s="17"/>
      <c r="M88" s="18" t="str">
        <f aca="false">IF($H88="","",ROUND($H88*IFERROR(VLOOKUP($K88,Listes!$E$2:$F$5,2,FALSE()),1),0))</f>
        <v/>
      </c>
      <c r="N88" s="15" t="str">
        <f aca="false">IF($M88="","",IF($M88&gt;=16,"Critique",IF($M88&gt;=9,"Élevé",IF($M88&gt;=5,"Moyen","Faible"))))</f>
        <v/>
      </c>
      <c r="O88" s="15" t="str">
        <f aca="false">IF($M88="","",IF($M88&gt;=9,"OUI",""))</f>
        <v/>
      </c>
      <c r="P88" s="16"/>
      <c r="Q88" s="15"/>
      <c r="R88" s="15"/>
      <c r="T88" s="19" t="n">
        <f aca="false">IFERROR(ROUND(VALUE(LEFT(F88,1))*VALUE(LEFT(G88,1))*IFERROR(VLOOKUP($K88,Listes!$E$2:$F$5,2,FALSE()),1),0),0)</f>
        <v>0</v>
      </c>
    </row>
    <row r="89" customFormat="false" ht="15" hidden="false" customHeight="false" outlineLevel="0" collapsed="false">
      <c r="A89" s="15"/>
      <c r="B89" s="16"/>
      <c r="C89" s="16"/>
      <c r="D89" s="17"/>
      <c r="E89" s="17"/>
      <c r="F89" s="15"/>
      <c r="G89" s="15"/>
      <c r="H89" s="18" t="str">
        <f aca="false">IFERROR(VALUE(LEFT(F89,1))*VALUE(LEFT(G89,1)),"")</f>
        <v/>
      </c>
      <c r="I89" s="15" t="str">
        <f aca="false">IF($H89="","",IF($H89&gt;=16,"Critique",IF($H89&gt;=9,"Élevé",IF($H89&gt;=5,"Moyen","Faible"))))</f>
        <v/>
      </c>
      <c r="J89" s="17"/>
      <c r="K89" s="15"/>
      <c r="L89" s="17"/>
      <c r="M89" s="18" t="str">
        <f aca="false">IF($H89="","",ROUND($H89*IFERROR(VLOOKUP($K89,Listes!$E$2:$F$5,2,FALSE()),1),0))</f>
        <v/>
      </c>
      <c r="N89" s="15" t="str">
        <f aca="false">IF($M89="","",IF($M89&gt;=16,"Critique",IF($M89&gt;=9,"Élevé",IF($M89&gt;=5,"Moyen","Faible"))))</f>
        <v/>
      </c>
      <c r="O89" s="15" t="str">
        <f aca="false">IF($M89="","",IF($M89&gt;=9,"OUI",""))</f>
        <v/>
      </c>
      <c r="P89" s="16"/>
      <c r="Q89" s="15"/>
      <c r="R89" s="15"/>
      <c r="T89" s="19" t="n">
        <f aca="false">IFERROR(ROUND(VALUE(LEFT(F89,1))*VALUE(LEFT(G89,1))*IFERROR(VLOOKUP($K89,Listes!$E$2:$F$5,2,FALSE()),1),0),0)</f>
        <v>0</v>
      </c>
    </row>
    <row r="90" customFormat="false" ht="15" hidden="false" customHeight="false" outlineLevel="0" collapsed="false">
      <c r="A90" s="15"/>
      <c r="B90" s="16"/>
      <c r="C90" s="16"/>
      <c r="D90" s="17"/>
      <c r="E90" s="17"/>
      <c r="F90" s="15"/>
      <c r="G90" s="15"/>
      <c r="H90" s="18" t="str">
        <f aca="false">IFERROR(VALUE(LEFT(F90,1))*VALUE(LEFT(G90,1)),"")</f>
        <v/>
      </c>
      <c r="I90" s="15" t="str">
        <f aca="false">IF($H90="","",IF($H90&gt;=16,"Critique",IF($H90&gt;=9,"Élevé",IF($H90&gt;=5,"Moyen","Faible"))))</f>
        <v/>
      </c>
      <c r="J90" s="17"/>
      <c r="K90" s="15"/>
      <c r="L90" s="17"/>
      <c r="M90" s="18" t="str">
        <f aca="false">IF($H90="","",ROUND($H90*IFERROR(VLOOKUP($K90,Listes!$E$2:$F$5,2,FALSE()),1),0))</f>
        <v/>
      </c>
      <c r="N90" s="15" t="str">
        <f aca="false">IF($M90="","",IF($M90&gt;=16,"Critique",IF($M90&gt;=9,"Élevé",IF($M90&gt;=5,"Moyen","Faible"))))</f>
        <v/>
      </c>
      <c r="O90" s="15" t="str">
        <f aca="false">IF($M90="","",IF($M90&gt;=9,"OUI",""))</f>
        <v/>
      </c>
      <c r="P90" s="16"/>
      <c r="Q90" s="15"/>
      <c r="R90" s="15"/>
      <c r="T90" s="19" t="n">
        <f aca="false">IFERROR(ROUND(VALUE(LEFT(F90,1))*VALUE(LEFT(G90,1))*IFERROR(VLOOKUP($K90,Listes!$E$2:$F$5,2,FALSE()),1),0),0)</f>
        <v>0</v>
      </c>
    </row>
    <row r="91" customFormat="false" ht="15" hidden="false" customHeight="false" outlineLevel="0" collapsed="false">
      <c r="A91" s="15"/>
      <c r="B91" s="16"/>
      <c r="C91" s="16"/>
      <c r="D91" s="17"/>
      <c r="E91" s="17"/>
      <c r="F91" s="15"/>
      <c r="G91" s="15"/>
      <c r="H91" s="18" t="str">
        <f aca="false">IFERROR(VALUE(LEFT(F91,1))*VALUE(LEFT(G91,1)),"")</f>
        <v/>
      </c>
      <c r="I91" s="15" t="str">
        <f aca="false">IF($H91="","",IF($H91&gt;=16,"Critique",IF($H91&gt;=9,"Élevé",IF($H91&gt;=5,"Moyen","Faible"))))</f>
        <v/>
      </c>
      <c r="J91" s="17"/>
      <c r="K91" s="15"/>
      <c r="L91" s="17"/>
      <c r="M91" s="18" t="str">
        <f aca="false">IF($H91="","",ROUND($H91*IFERROR(VLOOKUP($K91,Listes!$E$2:$F$5,2,FALSE()),1),0))</f>
        <v/>
      </c>
      <c r="N91" s="15" t="str">
        <f aca="false">IF($M91="","",IF($M91&gt;=16,"Critique",IF($M91&gt;=9,"Élevé",IF($M91&gt;=5,"Moyen","Faible"))))</f>
        <v/>
      </c>
      <c r="O91" s="15" t="str">
        <f aca="false">IF($M91="","",IF($M91&gt;=9,"OUI",""))</f>
        <v/>
      </c>
      <c r="P91" s="16"/>
      <c r="Q91" s="15"/>
      <c r="R91" s="15"/>
      <c r="T91" s="19" t="n">
        <f aca="false">IFERROR(ROUND(VALUE(LEFT(F91,1))*VALUE(LEFT(G91,1))*IFERROR(VLOOKUP($K91,Listes!$E$2:$F$5,2,FALSE()),1),0),0)</f>
        <v>0</v>
      </c>
    </row>
    <row r="92" customFormat="false" ht="15" hidden="false" customHeight="false" outlineLevel="0" collapsed="false">
      <c r="A92" s="15"/>
      <c r="B92" s="16"/>
      <c r="C92" s="16"/>
      <c r="D92" s="17"/>
      <c r="E92" s="17"/>
      <c r="F92" s="15"/>
      <c r="G92" s="15"/>
      <c r="H92" s="18" t="str">
        <f aca="false">IFERROR(VALUE(LEFT(F92,1))*VALUE(LEFT(G92,1)),"")</f>
        <v/>
      </c>
      <c r="I92" s="15" t="str">
        <f aca="false">IF($H92="","",IF($H92&gt;=16,"Critique",IF($H92&gt;=9,"Élevé",IF($H92&gt;=5,"Moyen","Faible"))))</f>
        <v/>
      </c>
      <c r="J92" s="17"/>
      <c r="K92" s="15"/>
      <c r="L92" s="17"/>
      <c r="M92" s="18" t="str">
        <f aca="false">IF($H92="","",ROUND($H92*IFERROR(VLOOKUP($K92,Listes!$E$2:$F$5,2,FALSE()),1),0))</f>
        <v/>
      </c>
      <c r="N92" s="15" t="str">
        <f aca="false">IF($M92="","",IF($M92&gt;=16,"Critique",IF($M92&gt;=9,"Élevé",IF($M92&gt;=5,"Moyen","Faible"))))</f>
        <v/>
      </c>
      <c r="O92" s="15" t="str">
        <f aca="false">IF($M92="","",IF($M92&gt;=9,"OUI",""))</f>
        <v/>
      </c>
      <c r="P92" s="16"/>
      <c r="Q92" s="15"/>
      <c r="R92" s="15"/>
      <c r="T92" s="19" t="n">
        <f aca="false">IFERROR(ROUND(VALUE(LEFT(F92,1))*VALUE(LEFT(G92,1))*IFERROR(VLOOKUP($K92,Listes!$E$2:$F$5,2,FALSE()),1),0),0)</f>
        <v>0</v>
      </c>
    </row>
    <row r="93" customFormat="false" ht="15" hidden="false" customHeight="false" outlineLevel="0" collapsed="false">
      <c r="A93" s="15"/>
      <c r="B93" s="16"/>
      <c r="C93" s="16"/>
      <c r="D93" s="17"/>
      <c r="E93" s="17"/>
      <c r="F93" s="15"/>
      <c r="G93" s="15"/>
      <c r="H93" s="18" t="str">
        <f aca="false">IFERROR(VALUE(LEFT(F93,1))*VALUE(LEFT(G93,1)),"")</f>
        <v/>
      </c>
      <c r="I93" s="15" t="str">
        <f aca="false">IF($H93="","",IF($H93&gt;=16,"Critique",IF($H93&gt;=9,"Élevé",IF($H93&gt;=5,"Moyen","Faible"))))</f>
        <v/>
      </c>
      <c r="J93" s="17"/>
      <c r="K93" s="15"/>
      <c r="L93" s="17"/>
      <c r="M93" s="18" t="str">
        <f aca="false">IF($H93="","",ROUND($H93*IFERROR(VLOOKUP($K93,Listes!$E$2:$F$5,2,FALSE()),1),0))</f>
        <v/>
      </c>
      <c r="N93" s="15" t="str">
        <f aca="false">IF($M93="","",IF($M93&gt;=16,"Critique",IF($M93&gt;=9,"Élevé",IF($M93&gt;=5,"Moyen","Faible"))))</f>
        <v/>
      </c>
      <c r="O93" s="15" t="str">
        <f aca="false">IF($M93="","",IF($M93&gt;=9,"OUI",""))</f>
        <v/>
      </c>
      <c r="P93" s="16"/>
      <c r="Q93" s="15"/>
      <c r="R93" s="15"/>
      <c r="T93" s="19" t="n">
        <f aca="false">IFERROR(ROUND(VALUE(LEFT(F93,1))*VALUE(LEFT(G93,1))*IFERROR(VLOOKUP($K93,Listes!$E$2:$F$5,2,FALSE()),1),0),0)</f>
        <v>0</v>
      </c>
    </row>
    <row r="94" customFormat="false" ht="15" hidden="false" customHeight="false" outlineLevel="0" collapsed="false">
      <c r="A94" s="15"/>
      <c r="B94" s="16"/>
      <c r="C94" s="16"/>
      <c r="D94" s="17"/>
      <c r="E94" s="17"/>
      <c r="F94" s="15"/>
      <c r="G94" s="15"/>
      <c r="H94" s="18" t="str">
        <f aca="false">IFERROR(VALUE(LEFT(F94,1))*VALUE(LEFT(G94,1)),"")</f>
        <v/>
      </c>
      <c r="I94" s="15" t="str">
        <f aca="false">IF($H94="","",IF($H94&gt;=16,"Critique",IF($H94&gt;=9,"Élevé",IF($H94&gt;=5,"Moyen","Faible"))))</f>
        <v/>
      </c>
      <c r="J94" s="17"/>
      <c r="K94" s="15"/>
      <c r="L94" s="17"/>
      <c r="M94" s="18" t="str">
        <f aca="false">IF($H94="","",ROUND($H94*IFERROR(VLOOKUP($K94,Listes!$E$2:$F$5,2,FALSE()),1),0))</f>
        <v/>
      </c>
      <c r="N94" s="15" t="str">
        <f aca="false">IF($M94="","",IF($M94&gt;=16,"Critique",IF($M94&gt;=9,"Élevé",IF($M94&gt;=5,"Moyen","Faible"))))</f>
        <v/>
      </c>
      <c r="O94" s="15" t="str">
        <f aca="false">IF($M94="","",IF($M94&gt;=9,"OUI",""))</f>
        <v/>
      </c>
      <c r="P94" s="16"/>
      <c r="Q94" s="15"/>
      <c r="R94" s="15"/>
      <c r="T94" s="19" t="n">
        <f aca="false">IFERROR(ROUND(VALUE(LEFT(F94,1))*VALUE(LEFT(G94,1))*IFERROR(VLOOKUP($K94,Listes!$E$2:$F$5,2,FALSE()),1),0),0)</f>
        <v>0</v>
      </c>
    </row>
    <row r="95" customFormat="false" ht="15" hidden="false" customHeight="false" outlineLevel="0" collapsed="false">
      <c r="A95" s="15"/>
      <c r="B95" s="16"/>
      <c r="C95" s="16"/>
      <c r="D95" s="17"/>
      <c r="E95" s="17"/>
      <c r="F95" s="15"/>
      <c r="G95" s="15"/>
      <c r="H95" s="18" t="str">
        <f aca="false">IFERROR(VALUE(LEFT(F95,1))*VALUE(LEFT(G95,1)),"")</f>
        <v/>
      </c>
      <c r="I95" s="15" t="str">
        <f aca="false">IF($H95="","",IF($H95&gt;=16,"Critique",IF($H95&gt;=9,"Élevé",IF($H95&gt;=5,"Moyen","Faible"))))</f>
        <v/>
      </c>
      <c r="J95" s="17"/>
      <c r="K95" s="15"/>
      <c r="L95" s="17"/>
      <c r="M95" s="18" t="str">
        <f aca="false">IF($H95="","",ROUND($H95*IFERROR(VLOOKUP($K95,Listes!$E$2:$F$5,2,FALSE()),1),0))</f>
        <v/>
      </c>
      <c r="N95" s="15" t="str">
        <f aca="false">IF($M95="","",IF($M95&gt;=16,"Critique",IF($M95&gt;=9,"Élevé",IF($M95&gt;=5,"Moyen","Faible"))))</f>
        <v/>
      </c>
      <c r="O95" s="15" t="str">
        <f aca="false">IF($M95="","",IF($M95&gt;=9,"OUI",""))</f>
        <v/>
      </c>
      <c r="P95" s="16"/>
      <c r="Q95" s="15"/>
      <c r="R95" s="15"/>
      <c r="T95" s="19" t="n">
        <f aca="false">IFERROR(ROUND(VALUE(LEFT(F95,1))*VALUE(LEFT(G95,1))*IFERROR(VLOOKUP($K95,Listes!$E$2:$F$5,2,FALSE()),1),0),0)</f>
        <v>0</v>
      </c>
    </row>
    <row r="96" customFormat="false" ht="15" hidden="false" customHeight="false" outlineLevel="0" collapsed="false">
      <c r="A96" s="15"/>
      <c r="B96" s="16"/>
      <c r="C96" s="16"/>
      <c r="D96" s="17"/>
      <c r="E96" s="17"/>
      <c r="F96" s="15"/>
      <c r="G96" s="15"/>
      <c r="H96" s="18" t="str">
        <f aca="false">IFERROR(VALUE(LEFT(F96,1))*VALUE(LEFT(G96,1)),"")</f>
        <v/>
      </c>
      <c r="I96" s="15" t="str">
        <f aca="false">IF($H96="","",IF($H96&gt;=16,"Critique",IF($H96&gt;=9,"Élevé",IF($H96&gt;=5,"Moyen","Faible"))))</f>
        <v/>
      </c>
      <c r="J96" s="17"/>
      <c r="K96" s="15"/>
      <c r="L96" s="17"/>
      <c r="M96" s="18" t="str">
        <f aca="false">IF($H96="","",ROUND($H96*IFERROR(VLOOKUP($K96,Listes!$E$2:$F$5,2,FALSE()),1),0))</f>
        <v/>
      </c>
      <c r="N96" s="15" t="str">
        <f aca="false">IF($M96="","",IF($M96&gt;=16,"Critique",IF($M96&gt;=9,"Élevé",IF($M96&gt;=5,"Moyen","Faible"))))</f>
        <v/>
      </c>
      <c r="O96" s="15" t="str">
        <f aca="false">IF($M96="","",IF($M96&gt;=9,"OUI",""))</f>
        <v/>
      </c>
      <c r="P96" s="16"/>
      <c r="Q96" s="15"/>
      <c r="R96" s="15"/>
      <c r="T96" s="19" t="n">
        <f aca="false">IFERROR(ROUND(VALUE(LEFT(F96,1))*VALUE(LEFT(G96,1))*IFERROR(VLOOKUP($K96,Listes!$E$2:$F$5,2,FALSE()),1),0),0)</f>
        <v>0</v>
      </c>
    </row>
    <row r="97" customFormat="false" ht="15" hidden="false" customHeight="false" outlineLevel="0" collapsed="false">
      <c r="A97" s="15"/>
      <c r="B97" s="16"/>
      <c r="C97" s="16"/>
      <c r="D97" s="17"/>
      <c r="E97" s="17"/>
      <c r="F97" s="15"/>
      <c r="G97" s="15"/>
      <c r="H97" s="18" t="str">
        <f aca="false">IFERROR(VALUE(LEFT(F97,1))*VALUE(LEFT(G97,1)),"")</f>
        <v/>
      </c>
      <c r="I97" s="15" t="str">
        <f aca="false">IF($H97="","",IF($H97&gt;=16,"Critique",IF($H97&gt;=9,"Élevé",IF($H97&gt;=5,"Moyen","Faible"))))</f>
        <v/>
      </c>
      <c r="J97" s="17"/>
      <c r="K97" s="15"/>
      <c r="L97" s="17"/>
      <c r="M97" s="18" t="str">
        <f aca="false">IF($H97="","",ROUND($H97*IFERROR(VLOOKUP($K97,Listes!$E$2:$F$5,2,FALSE()),1),0))</f>
        <v/>
      </c>
      <c r="N97" s="15" t="str">
        <f aca="false">IF($M97="","",IF($M97&gt;=16,"Critique",IF($M97&gt;=9,"Élevé",IF($M97&gt;=5,"Moyen","Faible"))))</f>
        <v/>
      </c>
      <c r="O97" s="15" t="str">
        <f aca="false">IF($M97="","",IF($M97&gt;=9,"OUI",""))</f>
        <v/>
      </c>
      <c r="P97" s="16"/>
      <c r="Q97" s="15"/>
      <c r="R97" s="15"/>
      <c r="T97" s="19" t="n">
        <f aca="false">IFERROR(ROUND(VALUE(LEFT(F97,1))*VALUE(LEFT(G97,1))*IFERROR(VLOOKUP($K97,Listes!$E$2:$F$5,2,FALSE()),1),0),0)</f>
        <v>0</v>
      </c>
    </row>
    <row r="98" customFormat="false" ht="15" hidden="false" customHeight="false" outlineLevel="0" collapsed="false">
      <c r="A98" s="15"/>
      <c r="B98" s="16"/>
      <c r="C98" s="16"/>
      <c r="D98" s="17"/>
      <c r="E98" s="17"/>
      <c r="F98" s="15"/>
      <c r="G98" s="15"/>
      <c r="H98" s="18" t="str">
        <f aca="false">IFERROR(VALUE(LEFT(F98,1))*VALUE(LEFT(G98,1)),"")</f>
        <v/>
      </c>
      <c r="I98" s="15" t="str">
        <f aca="false">IF($H98="","",IF($H98&gt;=16,"Critique",IF($H98&gt;=9,"Élevé",IF($H98&gt;=5,"Moyen","Faible"))))</f>
        <v/>
      </c>
      <c r="J98" s="17"/>
      <c r="K98" s="15"/>
      <c r="L98" s="17"/>
      <c r="M98" s="18" t="str">
        <f aca="false">IF($H98="","",ROUND($H98*IFERROR(VLOOKUP($K98,Listes!$E$2:$F$5,2,FALSE()),1),0))</f>
        <v/>
      </c>
      <c r="N98" s="15" t="str">
        <f aca="false">IF($M98="","",IF($M98&gt;=16,"Critique",IF($M98&gt;=9,"Élevé",IF($M98&gt;=5,"Moyen","Faible"))))</f>
        <v/>
      </c>
      <c r="O98" s="15" t="str">
        <f aca="false">IF($M98="","",IF($M98&gt;=9,"OUI",""))</f>
        <v/>
      </c>
      <c r="P98" s="16"/>
      <c r="Q98" s="15"/>
      <c r="R98" s="15"/>
      <c r="T98" s="19" t="n">
        <f aca="false">IFERROR(ROUND(VALUE(LEFT(F98,1))*VALUE(LEFT(G98,1))*IFERROR(VLOOKUP($K98,Listes!$E$2:$F$5,2,FALSE()),1),0),0)</f>
        <v>0</v>
      </c>
    </row>
    <row r="99" customFormat="false" ht="15" hidden="false" customHeight="false" outlineLevel="0" collapsed="false">
      <c r="A99" s="15"/>
      <c r="B99" s="16"/>
      <c r="C99" s="16"/>
      <c r="D99" s="17"/>
      <c r="E99" s="17"/>
      <c r="F99" s="15"/>
      <c r="G99" s="15"/>
      <c r="H99" s="18" t="str">
        <f aca="false">IFERROR(VALUE(LEFT(F99,1))*VALUE(LEFT(G99,1)),"")</f>
        <v/>
      </c>
      <c r="I99" s="15" t="str">
        <f aca="false">IF($H99="","",IF($H99&gt;=16,"Critique",IF($H99&gt;=9,"Élevé",IF($H99&gt;=5,"Moyen","Faible"))))</f>
        <v/>
      </c>
      <c r="J99" s="17"/>
      <c r="K99" s="15"/>
      <c r="L99" s="17"/>
      <c r="M99" s="18" t="str">
        <f aca="false">IF($H99="","",ROUND($H99*IFERROR(VLOOKUP($K99,Listes!$E$2:$F$5,2,FALSE()),1),0))</f>
        <v/>
      </c>
      <c r="N99" s="15" t="str">
        <f aca="false">IF($M99="","",IF($M99&gt;=16,"Critique",IF($M99&gt;=9,"Élevé",IF($M99&gt;=5,"Moyen","Faible"))))</f>
        <v/>
      </c>
      <c r="O99" s="15" t="str">
        <f aca="false">IF($M99="","",IF($M99&gt;=9,"OUI",""))</f>
        <v/>
      </c>
      <c r="P99" s="16"/>
      <c r="Q99" s="15"/>
      <c r="R99" s="15"/>
      <c r="T99" s="19" t="n">
        <f aca="false">IFERROR(ROUND(VALUE(LEFT(F99,1))*VALUE(LEFT(G99,1))*IFERROR(VLOOKUP($K99,Listes!$E$2:$F$5,2,FALSE()),1),0),0)</f>
        <v>0</v>
      </c>
    </row>
    <row r="100" customFormat="false" ht="15" hidden="false" customHeight="false" outlineLevel="0" collapsed="false">
      <c r="A100" s="15"/>
      <c r="B100" s="16"/>
      <c r="C100" s="16"/>
      <c r="D100" s="17"/>
      <c r="E100" s="17"/>
      <c r="F100" s="15"/>
      <c r="G100" s="15"/>
      <c r="H100" s="18" t="str">
        <f aca="false">IFERROR(VALUE(LEFT(F100,1))*VALUE(LEFT(G100,1)),"")</f>
        <v/>
      </c>
      <c r="I100" s="15" t="str">
        <f aca="false">IF($H100="","",IF($H100&gt;=16,"Critique",IF($H100&gt;=9,"Élevé",IF($H100&gt;=5,"Moyen","Faible"))))</f>
        <v/>
      </c>
      <c r="J100" s="17"/>
      <c r="K100" s="15"/>
      <c r="L100" s="17"/>
      <c r="M100" s="18" t="str">
        <f aca="false">IF($H100="","",ROUND($H100*IFERROR(VLOOKUP($K100,Listes!$E$2:$F$5,2,FALSE()),1),0))</f>
        <v/>
      </c>
      <c r="N100" s="15" t="str">
        <f aca="false">IF($M100="","",IF($M100&gt;=16,"Critique",IF($M100&gt;=9,"Élevé",IF($M100&gt;=5,"Moyen","Faible"))))</f>
        <v/>
      </c>
      <c r="O100" s="15" t="str">
        <f aca="false">IF($M100="","",IF($M100&gt;=9,"OUI",""))</f>
        <v/>
      </c>
      <c r="P100" s="16"/>
      <c r="Q100" s="15"/>
      <c r="R100" s="15"/>
      <c r="T100" s="19" t="n">
        <f aca="false">IFERROR(ROUND(VALUE(LEFT(F100,1))*VALUE(LEFT(G100,1))*IFERROR(VLOOKUP($K100,Listes!$E$2:$F$5,2,FALSE()),1),0),0)</f>
        <v>0</v>
      </c>
    </row>
    <row r="101" customFormat="false" ht="15" hidden="false" customHeight="false" outlineLevel="0" collapsed="false">
      <c r="A101" s="15"/>
      <c r="B101" s="16"/>
      <c r="C101" s="16"/>
      <c r="D101" s="17"/>
      <c r="E101" s="17"/>
      <c r="F101" s="15"/>
      <c r="G101" s="15"/>
      <c r="H101" s="18" t="str">
        <f aca="false">IFERROR(VALUE(LEFT(F101,1))*VALUE(LEFT(G101,1)),"")</f>
        <v/>
      </c>
      <c r="I101" s="15" t="str">
        <f aca="false">IF($H101="","",IF($H101&gt;=16,"Critique",IF($H101&gt;=9,"Élevé",IF($H101&gt;=5,"Moyen","Faible"))))</f>
        <v/>
      </c>
      <c r="J101" s="17"/>
      <c r="K101" s="15"/>
      <c r="L101" s="17"/>
      <c r="M101" s="18" t="str">
        <f aca="false">IF($H101="","",ROUND($H101*IFERROR(VLOOKUP($K101,Listes!$E$2:$F$5,2,FALSE()),1),0))</f>
        <v/>
      </c>
      <c r="N101" s="15" t="str">
        <f aca="false">IF($M101="","",IF($M101&gt;=16,"Critique",IF($M101&gt;=9,"Élevé",IF($M101&gt;=5,"Moyen","Faible"))))</f>
        <v/>
      </c>
      <c r="O101" s="15" t="str">
        <f aca="false">IF($M101="","",IF($M101&gt;=9,"OUI",""))</f>
        <v/>
      </c>
      <c r="P101" s="16"/>
      <c r="Q101" s="15"/>
      <c r="R101" s="15"/>
      <c r="T101" s="19" t="n">
        <f aca="false">IFERROR(ROUND(VALUE(LEFT(F101,1))*VALUE(LEFT(G101,1))*IFERROR(VLOOKUP($K101,Listes!$E$2:$F$5,2,FALSE()),1),0),0)</f>
        <v>0</v>
      </c>
    </row>
    <row r="102" customFormat="false" ht="15" hidden="false" customHeight="false" outlineLevel="0" collapsed="false">
      <c r="A102" s="15"/>
      <c r="B102" s="16"/>
      <c r="C102" s="16"/>
      <c r="D102" s="17"/>
      <c r="E102" s="17"/>
      <c r="F102" s="15"/>
      <c r="G102" s="15"/>
      <c r="H102" s="18" t="str">
        <f aca="false">IFERROR(VALUE(LEFT(F102,1))*VALUE(LEFT(G102,1)),"")</f>
        <v/>
      </c>
      <c r="I102" s="15" t="str">
        <f aca="false">IF($H102="","",IF($H102&gt;=16,"Critique",IF($H102&gt;=9,"Élevé",IF($H102&gt;=5,"Moyen","Faible"))))</f>
        <v/>
      </c>
      <c r="J102" s="17"/>
      <c r="K102" s="15"/>
      <c r="L102" s="17"/>
      <c r="M102" s="18" t="str">
        <f aca="false">IF($H102="","",ROUND($H102*IFERROR(VLOOKUP($K102,Listes!$E$2:$F$5,2,FALSE()),1),0))</f>
        <v/>
      </c>
      <c r="N102" s="15" t="str">
        <f aca="false">IF($M102="","",IF($M102&gt;=16,"Critique",IF($M102&gt;=9,"Élevé",IF($M102&gt;=5,"Moyen","Faible"))))</f>
        <v/>
      </c>
      <c r="O102" s="15" t="str">
        <f aca="false">IF($M102="","",IF($M102&gt;=9,"OUI",""))</f>
        <v/>
      </c>
      <c r="P102" s="16"/>
      <c r="Q102" s="15"/>
      <c r="R102" s="15"/>
      <c r="T102" s="19" t="n">
        <f aca="false">IFERROR(ROUND(VALUE(LEFT(F102,1))*VALUE(LEFT(G102,1))*IFERROR(VLOOKUP($K102,Listes!$E$2:$F$5,2,FALSE()),1),0),0)</f>
        <v>0</v>
      </c>
    </row>
    <row r="103" customFormat="false" ht="15" hidden="false" customHeight="false" outlineLevel="0" collapsed="false">
      <c r="A103" s="15"/>
      <c r="B103" s="16"/>
      <c r="C103" s="16"/>
      <c r="D103" s="17"/>
      <c r="E103" s="17"/>
      <c r="F103" s="15"/>
      <c r="G103" s="15"/>
      <c r="H103" s="18" t="str">
        <f aca="false">IFERROR(VALUE(LEFT(F103,1))*VALUE(LEFT(G103,1)),"")</f>
        <v/>
      </c>
      <c r="I103" s="15" t="str">
        <f aca="false">IF($H103="","",IF($H103&gt;=16,"Critique",IF($H103&gt;=9,"Élevé",IF($H103&gt;=5,"Moyen","Faible"))))</f>
        <v/>
      </c>
      <c r="J103" s="17"/>
      <c r="K103" s="15"/>
      <c r="L103" s="17"/>
      <c r="M103" s="18" t="str">
        <f aca="false">IF($H103="","",ROUND($H103*IFERROR(VLOOKUP($K103,Listes!$E$2:$F$5,2,FALSE()),1),0))</f>
        <v/>
      </c>
      <c r="N103" s="15" t="str">
        <f aca="false">IF($M103="","",IF($M103&gt;=16,"Critique",IF($M103&gt;=9,"Élevé",IF($M103&gt;=5,"Moyen","Faible"))))</f>
        <v/>
      </c>
      <c r="O103" s="15" t="str">
        <f aca="false">IF($M103="","",IF($M103&gt;=9,"OUI",""))</f>
        <v/>
      </c>
      <c r="P103" s="16"/>
      <c r="Q103" s="15"/>
      <c r="R103" s="15"/>
      <c r="T103" s="19" t="n">
        <f aca="false">IFERROR(ROUND(VALUE(LEFT(F103,1))*VALUE(LEFT(G103,1))*IFERROR(VLOOKUP($K103,Listes!$E$2:$F$5,2,FALSE()),1),0),0)</f>
        <v>0</v>
      </c>
    </row>
    <row r="104" customFormat="false" ht="15" hidden="false" customHeight="false" outlineLevel="0" collapsed="false">
      <c r="A104" s="15"/>
      <c r="B104" s="16"/>
      <c r="C104" s="16"/>
      <c r="D104" s="17"/>
      <c r="E104" s="17"/>
      <c r="F104" s="15"/>
      <c r="G104" s="15"/>
      <c r="H104" s="18" t="str">
        <f aca="false">IFERROR(VALUE(LEFT(F104,1))*VALUE(LEFT(G104,1)),"")</f>
        <v/>
      </c>
      <c r="I104" s="15" t="str">
        <f aca="false">IF($H104="","",IF($H104&gt;=16,"Critique",IF($H104&gt;=9,"Élevé",IF($H104&gt;=5,"Moyen","Faible"))))</f>
        <v/>
      </c>
      <c r="J104" s="17"/>
      <c r="K104" s="15"/>
      <c r="L104" s="17"/>
      <c r="M104" s="18" t="str">
        <f aca="false">IF($H104="","",ROUND($H104*IFERROR(VLOOKUP($K104,Listes!$E$2:$F$5,2,FALSE()),1),0))</f>
        <v/>
      </c>
      <c r="N104" s="15" t="str">
        <f aca="false">IF($M104="","",IF($M104&gt;=16,"Critique",IF($M104&gt;=9,"Élevé",IF($M104&gt;=5,"Moyen","Faible"))))</f>
        <v/>
      </c>
      <c r="O104" s="15" t="str">
        <f aca="false">IF($M104="","",IF($M104&gt;=9,"OUI",""))</f>
        <v/>
      </c>
      <c r="P104" s="16"/>
      <c r="Q104" s="15"/>
      <c r="R104" s="15"/>
      <c r="T104" s="19" t="n">
        <f aca="false">IFERROR(ROUND(VALUE(LEFT(F104,1))*VALUE(LEFT(G104,1))*IFERROR(VLOOKUP($K104,Listes!$E$2:$F$5,2,FALSE()),1),0),0)</f>
        <v>0</v>
      </c>
    </row>
    <row r="105" customFormat="false" ht="15" hidden="false" customHeight="false" outlineLevel="0" collapsed="false">
      <c r="A105" s="15"/>
      <c r="B105" s="16"/>
      <c r="C105" s="16"/>
      <c r="D105" s="17"/>
      <c r="E105" s="17"/>
      <c r="F105" s="15"/>
      <c r="G105" s="15"/>
      <c r="H105" s="18" t="str">
        <f aca="false">IFERROR(VALUE(LEFT(F105,1))*VALUE(LEFT(G105,1)),"")</f>
        <v/>
      </c>
      <c r="I105" s="15" t="str">
        <f aca="false">IF($H105="","",IF($H105&gt;=16,"Critique",IF($H105&gt;=9,"Élevé",IF($H105&gt;=5,"Moyen","Faible"))))</f>
        <v/>
      </c>
      <c r="J105" s="17"/>
      <c r="K105" s="15"/>
      <c r="L105" s="17"/>
      <c r="M105" s="18" t="str">
        <f aca="false">IF($H105="","",ROUND($H105*IFERROR(VLOOKUP($K105,Listes!$E$2:$F$5,2,FALSE()),1),0))</f>
        <v/>
      </c>
      <c r="N105" s="15" t="str">
        <f aca="false">IF($M105="","",IF($M105&gt;=16,"Critique",IF($M105&gt;=9,"Élevé",IF($M105&gt;=5,"Moyen","Faible"))))</f>
        <v/>
      </c>
      <c r="O105" s="15" t="str">
        <f aca="false">IF($M105="","",IF($M105&gt;=9,"OUI",""))</f>
        <v/>
      </c>
      <c r="P105" s="16"/>
      <c r="Q105" s="15"/>
      <c r="R105" s="15"/>
      <c r="T105" s="19" t="n">
        <f aca="false">IFERROR(ROUND(VALUE(LEFT(F105,1))*VALUE(LEFT(G105,1))*IFERROR(VLOOKUP($K105,Listes!$E$2:$F$5,2,FALSE()),1),0),0)</f>
        <v>0</v>
      </c>
    </row>
    <row r="106" customFormat="false" ht="15" hidden="false" customHeight="false" outlineLevel="0" collapsed="false">
      <c r="A106" s="15"/>
      <c r="B106" s="16"/>
      <c r="C106" s="16"/>
      <c r="D106" s="17"/>
      <c r="E106" s="17"/>
      <c r="F106" s="15"/>
      <c r="G106" s="15"/>
      <c r="H106" s="18" t="str">
        <f aca="false">IFERROR(VALUE(LEFT(F106,1))*VALUE(LEFT(G106,1)),"")</f>
        <v/>
      </c>
      <c r="I106" s="15" t="str">
        <f aca="false">IF($H106="","",IF($H106&gt;=16,"Critique",IF($H106&gt;=9,"Élevé",IF($H106&gt;=5,"Moyen","Faible"))))</f>
        <v/>
      </c>
      <c r="J106" s="17"/>
      <c r="K106" s="15"/>
      <c r="L106" s="17"/>
      <c r="M106" s="18" t="str">
        <f aca="false">IF($H106="","",ROUND($H106*IFERROR(VLOOKUP($K106,Listes!$E$2:$F$5,2,FALSE()),1),0))</f>
        <v/>
      </c>
      <c r="N106" s="15" t="str">
        <f aca="false">IF($M106="","",IF($M106&gt;=16,"Critique",IF($M106&gt;=9,"Élevé",IF($M106&gt;=5,"Moyen","Faible"))))</f>
        <v/>
      </c>
      <c r="O106" s="15" t="str">
        <f aca="false">IF($M106="","",IF($M106&gt;=9,"OUI",""))</f>
        <v/>
      </c>
      <c r="P106" s="16"/>
      <c r="Q106" s="15"/>
      <c r="R106" s="15"/>
      <c r="T106" s="19" t="n">
        <f aca="false">IFERROR(ROUND(VALUE(LEFT(F106,1))*VALUE(LEFT(G106,1))*IFERROR(VLOOKUP($K106,Listes!$E$2:$F$5,2,FALSE()),1),0),0)</f>
        <v>0</v>
      </c>
    </row>
    <row r="107" customFormat="false" ht="15" hidden="false" customHeight="false" outlineLevel="0" collapsed="false">
      <c r="A107" s="15"/>
      <c r="B107" s="16"/>
      <c r="C107" s="16"/>
      <c r="D107" s="17"/>
      <c r="E107" s="17"/>
      <c r="F107" s="15"/>
      <c r="G107" s="15"/>
      <c r="H107" s="18" t="str">
        <f aca="false">IFERROR(VALUE(LEFT(F107,1))*VALUE(LEFT(G107,1)),"")</f>
        <v/>
      </c>
      <c r="I107" s="15" t="str">
        <f aca="false">IF($H107="","",IF($H107&gt;=16,"Critique",IF($H107&gt;=9,"Élevé",IF($H107&gt;=5,"Moyen","Faible"))))</f>
        <v/>
      </c>
      <c r="J107" s="17"/>
      <c r="K107" s="15"/>
      <c r="L107" s="17"/>
      <c r="M107" s="18" t="str">
        <f aca="false">IF($H107="","",ROUND($H107*IFERROR(VLOOKUP($K107,Listes!$E$2:$F$5,2,FALSE()),1),0))</f>
        <v/>
      </c>
      <c r="N107" s="15" t="str">
        <f aca="false">IF($M107="","",IF($M107&gt;=16,"Critique",IF($M107&gt;=9,"Élevé",IF($M107&gt;=5,"Moyen","Faible"))))</f>
        <v/>
      </c>
      <c r="O107" s="15" t="str">
        <f aca="false">IF($M107="","",IF($M107&gt;=9,"OUI",""))</f>
        <v/>
      </c>
      <c r="P107" s="16"/>
      <c r="Q107" s="15"/>
      <c r="R107" s="15"/>
      <c r="T107" s="19" t="n">
        <f aca="false">IFERROR(ROUND(VALUE(LEFT(F107,1))*VALUE(LEFT(G107,1))*IFERROR(VLOOKUP($K107,Listes!$E$2:$F$5,2,FALSE()),1),0),0)</f>
        <v>0</v>
      </c>
    </row>
    <row r="108" customFormat="false" ht="15" hidden="false" customHeight="false" outlineLevel="0" collapsed="false">
      <c r="A108" s="15"/>
      <c r="B108" s="16"/>
      <c r="C108" s="16"/>
      <c r="D108" s="17"/>
      <c r="E108" s="17"/>
      <c r="F108" s="15"/>
      <c r="G108" s="15"/>
      <c r="H108" s="18" t="str">
        <f aca="false">IFERROR(VALUE(LEFT(F108,1))*VALUE(LEFT(G108,1)),"")</f>
        <v/>
      </c>
      <c r="I108" s="15" t="str">
        <f aca="false">IF($H108="","",IF($H108&gt;=16,"Critique",IF($H108&gt;=9,"Élevé",IF($H108&gt;=5,"Moyen","Faible"))))</f>
        <v/>
      </c>
      <c r="J108" s="17"/>
      <c r="K108" s="15"/>
      <c r="L108" s="17"/>
      <c r="M108" s="18" t="str">
        <f aca="false">IF($H108="","",ROUND($H108*IFERROR(VLOOKUP($K108,Listes!$E$2:$F$5,2,FALSE()),1),0))</f>
        <v/>
      </c>
      <c r="N108" s="15" t="str">
        <f aca="false">IF($M108="","",IF($M108&gt;=16,"Critique",IF($M108&gt;=9,"Élevé",IF($M108&gt;=5,"Moyen","Faible"))))</f>
        <v/>
      </c>
      <c r="O108" s="15" t="str">
        <f aca="false">IF($M108="","",IF($M108&gt;=9,"OUI",""))</f>
        <v/>
      </c>
      <c r="P108" s="16"/>
      <c r="Q108" s="15"/>
      <c r="R108" s="15"/>
      <c r="T108" s="19" t="n">
        <f aca="false">IFERROR(ROUND(VALUE(LEFT(F108,1))*VALUE(LEFT(G108,1))*IFERROR(VLOOKUP($K108,Listes!$E$2:$F$5,2,FALSE()),1),0),0)</f>
        <v>0</v>
      </c>
    </row>
    <row r="109" customFormat="false" ht="15" hidden="false" customHeight="false" outlineLevel="0" collapsed="false">
      <c r="A109" s="15"/>
      <c r="B109" s="16"/>
      <c r="C109" s="16"/>
      <c r="D109" s="17"/>
      <c r="E109" s="17"/>
      <c r="F109" s="15"/>
      <c r="G109" s="15"/>
      <c r="H109" s="18" t="str">
        <f aca="false">IFERROR(VALUE(LEFT(F109,1))*VALUE(LEFT(G109,1)),"")</f>
        <v/>
      </c>
      <c r="I109" s="15" t="str">
        <f aca="false">IF($H109="","",IF($H109&gt;=16,"Critique",IF($H109&gt;=9,"Élevé",IF($H109&gt;=5,"Moyen","Faible"))))</f>
        <v/>
      </c>
      <c r="J109" s="17"/>
      <c r="K109" s="15"/>
      <c r="L109" s="17"/>
      <c r="M109" s="18" t="str">
        <f aca="false">IF($H109="","",ROUND($H109*IFERROR(VLOOKUP($K109,Listes!$E$2:$F$5,2,FALSE()),1),0))</f>
        <v/>
      </c>
      <c r="N109" s="15" t="str">
        <f aca="false">IF($M109="","",IF($M109&gt;=16,"Critique",IF($M109&gt;=9,"Élevé",IF($M109&gt;=5,"Moyen","Faible"))))</f>
        <v/>
      </c>
      <c r="O109" s="15" t="str">
        <f aca="false">IF($M109="","",IF($M109&gt;=9,"OUI",""))</f>
        <v/>
      </c>
      <c r="P109" s="16"/>
      <c r="Q109" s="15"/>
      <c r="R109" s="15"/>
      <c r="T109" s="19" t="n">
        <f aca="false">IFERROR(ROUND(VALUE(LEFT(F109,1))*VALUE(LEFT(G109,1))*IFERROR(VLOOKUP($K109,Listes!$E$2:$F$5,2,FALSE()),1),0),0)</f>
        <v>0</v>
      </c>
    </row>
    <row r="110" customFormat="false" ht="15" hidden="false" customHeight="false" outlineLevel="0" collapsed="false">
      <c r="A110" s="15"/>
      <c r="B110" s="16"/>
      <c r="C110" s="16"/>
      <c r="D110" s="17"/>
      <c r="E110" s="17"/>
      <c r="F110" s="15"/>
      <c r="G110" s="15"/>
      <c r="H110" s="18" t="str">
        <f aca="false">IFERROR(VALUE(LEFT(F110,1))*VALUE(LEFT(G110,1)),"")</f>
        <v/>
      </c>
      <c r="I110" s="15" t="str">
        <f aca="false">IF($H110="","",IF($H110&gt;=16,"Critique",IF($H110&gt;=9,"Élevé",IF($H110&gt;=5,"Moyen","Faible"))))</f>
        <v/>
      </c>
      <c r="J110" s="17"/>
      <c r="K110" s="15"/>
      <c r="L110" s="17"/>
      <c r="M110" s="18" t="str">
        <f aca="false">IF($H110="","",ROUND($H110*IFERROR(VLOOKUP($K110,Listes!$E$2:$F$5,2,FALSE()),1),0))</f>
        <v/>
      </c>
      <c r="N110" s="15" t="str">
        <f aca="false">IF($M110="","",IF($M110&gt;=16,"Critique",IF($M110&gt;=9,"Élevé",IF($M110&gt;=5,"Moyen","Faible"))))</f>
        <v/>
      </c>
      <c r="O110" s="15" t="str">
        <f aca="false">IF($M110="","",IF($M110&gt;=9,"OUI",""))</f>
        <v/>
      </c>
      <c r="P110" s="16"/>
      <c r="Q110" s="15"/>
      <c r="R110" s="15"/>
      <c r="T110" s="19" t="n">
        <f aca="false">IFERROR(ROUND(VALUE(LEFT(F110,1))*VALUE(LEFT(G110,1))*IFERROR(VLOOKUP($K110,Listes!$E$2:$F$5,2,FALSE()),1),0),0)</f>
        <v>0</v>
      </c>
    </row>
    <row r="111" customFormat="false" ht="15" hidden="false" customHeight="false" outlineLevel="0" collapsed="false">
      <c r="A111" s="15"/>
      <c r="B111" s="16"/>
      <c r="C111" s="16"/>
      <c r="D111" s="17"/>
      <c r="E111" s="17"/>
      <c r="F111" s="15"/>
      <c r="G111" s="15"/>
      <c r="H111" s="18" t="str">
        <f aca="false">IFERROR(VALUE(LEFT(F111,1))*VALUE(LEFT(G111,1)),"")</f>
        <v/>
      </c>
      <c r="I111" s="15" t="str">
        <f aca="false">IF($H111="","",IF($H111&gt;=16,"Critique",IF($H111&gt;=9,"Élevé",IF($H111&gt;=5,"Moyen","Faible"))))</f>
        <v/>
      </c>
      <c r="J111" s="17"/>
      <c r="K111" s="15"/>
      <c r="L111" s="17"/>
      <c r="M111" s="18" t="str">
        <f aca="false">IF($H111="","",ROUND($H111*IFERROR(VLOOKUP($K111,Listes!$E$2:$F$5,2,FALSE()),1),0))</f>
        <v/>
      </c>
      <c r="N111" s="15" t="str">
        <f aca="false">IF($M111="","",IF($M111&gt;=16,"Critique",IF($M111&gt;=9,"Élevé",IF($M111&gt;=5,"Moyen","Faible"))))</f>
        <v/>
      </c>
      <c r="O111" s="15" t="str">
        <f aca="false">IF($M111="","",IF($M111&gt;=9,"OUI",""))</f>
        <v/>
      </c>
      <c r="P111" s="16"/>
      <c r="Q111" s="15"/>
      <c r="R111" s="15"/>
      <c r="T111" s="19" t="n">
        <f aca="false">IFERROR(ROUND(VALUE(LEFT(F111,1))*VALUE(LEFT(G111,1))*IFERROR(VLOOKUP($K111,Listes!$E$2:$F$5,2,FALSE()),1),0),0)</f>
        <v>0</v>
      </c>
    </row>
    <row r="112" customFormat="false" ht="15" hidden="false" customHeight="false" outlineLevel="0" collapsed="false">
      <c r="A112" s="15"/>
      <c r="B112" s="16"/>
      <c r="C112" s="16"/>
      <c r="D112" s="17"/>
      <c r="E112" s="17"/>
      <c r="F112" s="15"/>
      <c r="G112" s="15"/>
      <c r="H112" s="18" t="str">
        <f aca="false">IFERROR(VALUE(LEFT(F112,1))*VALUE(LEFT(G112,1)),"")</f>
        <v/>
      </c>
      <c r="I112" s="15" t="str">
        <f aca="false">IF($H112="","",IF($H112&gt;=16,"Critique",IF($H112&gt;=9,"Élevé",IF($H112&gt;=5,"Moyen","Faible"))))</f>
        <v/>
      </c>
      <c r="J112" s="17"/>
      <c r="K112" s="15"/>
      <c r="L112" s="17"/>
      <c r="M112" s="18" t="str">
        <f aca="false">IF($H112="","",ROUND($H112*IFERROR(VLOOKUP($K112,Listes!$E$2:$F$5,2,FALSE()),1),0))</f>
        <v/>
      </c>
      <c r="N112" s="15" t="str">
        <f aca="false">IF($M112="","",IF($M112&gt;=16,"Critique",IF($M112&gt;=9,"Élevé",IF($M112&gt;=5,"Moyen","Faible"))))</f>
        <v/>
      </c>
      <c r="O112" s="15" t="str">
        <f aca="false">IF($M112="","",IF($M112&gt;=9,"OUI",""))</f>
        <v/>
      </c>
      <c r="P112" s="16"/>
      <c r="Q112" s="15"/>
      <c r="R112" s="15"/>
      <c r="T112" s="19" t="n">
        <f aca="false">IFERROR(ROUND(VALUE(LEFT(F112,1))*VALUE(LEFT(G112,1))*IFERROR(VLOOKUP($K112,Listes!$E$2:$F$5,2,FALSE()),1),0),0)</f>
        <v>0</v>
      </c>
    </row>
    <row r="113" customFormat="false" ht="15" hidden="false" customHeight="false" outlineLevel="0" collapsed="false">
      <c r="A113" s="15"/>
      <c r="B113" s="16"/>
      <c r="C113" s="16"/>
      <c r="D113" s="17"/>
      <c r="E113" s="17"/>
      <c r="F113" s="15"/>
      <c r="G113" s="15"/>
      <c r="H113" s="18" t="str">
        <f aca="false">IFERROR(VALUE(LEFT(F113,1))*VALUE(LEFT(G113,1)),"")</f>
        <v/>
      </c>
      <c r="I113" s="15" t="str">
        <f aca="false">IF($H113="","",IF($H113&gt;=16,"Critique",IF($H113&gt;=9,"Élevé",IF($H113&gt;=5,"Moyen","Faible"))))</f>
        <v/>
      </c>
      <c r="J113" s="17"/>
      <c r="K113" s="15"/>
      <c r="L113" s="17"/>
      <c r="M113" s="18" t="str">
        <f aca="false">IF($H113="","",ROUND($H113*IFERROR(VLOOKUP($K113,Listes!$E$2:$F$5,2,FALSE()),1),0))</f>
        <v/>
      </c>
      <c r="N113" s="15" t="str">
        <f aca="false">IF($M113="","",IF($M113&gt;=16,"Critique",IF($M113&gt;=9,"Élevé",IF($M113&gt;=5,"Moyen","Faible"))))</f>
        <v/>
      </c>
      <c r="O113" s="15" t="str">
        <f aca="false">IF($M113="","",IF($M113&gt;=9,"OUI",""))</f>
        <v/>
      </c>
      <c r="P113" s="16"/>
      <c r="Q113" s="15"/>
      <c r="R113" s="15"/>
      <c r="T113" s="19" t="n">
        <f aca="false">IFERROR(ROUND(VALUE(LEFT(F113,1))*VALUE(LEFT(G113,1))*IFERROR(VLOOKUP($K113,Listes!$E$2:$F$5,2,FALSE()),1),0),0)</f>
        <v>0</v>
      </c>
    </row>
    <row r="114" customFormat="false" ht="15" hidden="false" customHeight="false" outlineLevel="0" collapsed="false">
      <c r="A114" s="15"/>
      <c r="B114" s="16"/>
      <c r="C114" s="16"/>
      <c r="D114" s="17"/>
      <c r="E114" s="17"/>
      <c r="F114" s="15"/>
      <c r="G114" s="15"/>
      <c r="H114" s="18" t="str">
        <f aca="false">IFERROR(VALUE(LEFT(F114,1))*VALUE(LEFT(G114,1)),"")</f>
        <v/>
      </c>
      <c r="I114" s="15" t="str">
        <f aca="false">IF($H114="","",IF($H114&gt;=16,"Critique",IF($H114&gt;=9,"Élevé",IF($H114&gt;=5,"Moyen","Faible"))))</f>
        <v/>
      </c>
      <c r="J114" s="17"/>
      <c r="K114" s="15"/>
      <c r="L114" s="17"/>
      <c r="M114" s="18" t="str">
        <f aca="false">IF($H114="","",ROUND($H114*IFERROR(VLOOKUP($K114,Listes!$E$2:$F$5,2,FALSE()),1),0))</f>
        <v/>
      </c>
      <c r="N114" s="15" t="str">
        <f aca="false">IF($M114="","",IF($M114&gt;=16,"Critique",IF($M114&gt;=9,"Élevé",IF($M114&gt;=5,"Moyen","Faible"))))</f>
        <v/>
      </c>
      <c r="O114" s="15" t="str">
        <f aca="false">IF($M114="","",IF($M114&gt;=9,"OUI",""))</f>
        <v/>
      </c>
      <c r="P114" s="16"/>
      <c r="Q114" s="15"/>
      <c r="R114" s="15"/>
      <c r="T114" s="19" t="n">
        <f aca="false">IFERROR(ROUND(VALUE(LEFT(F114,1))*VALUE(LEFT(G114,1))*IFERROR(VLOOKUP($K114,Listes!$E$2:$F$5,2,FALSE()),1),0),0)</f>
        <v>0</v>
      </c>
    </row>
    <row r="115" customFormat="false" ht="15" hidden="false" customHeight="false" outlineLevel="0" collapsed="false">
      <c r="A115" s="15"/>
      <c r="B115" s="16"/>
      <c r="C115" s="16"/>
      <c r="D115" s="17"/>
      <c r="E115" s="17"/>
      <c r="F115" s="15"/>
      <c r="G115" s="15"/>
      <c r="H115" s="18" t="str">
        <f aca="false">IFERROR(VALUE(LEFT(F115,1))*VALUE(LEFT(G115,1)),"")</f>
        <v/>
      </c>
      <c r="I115" s="15" t="str">
        <f aca="false">IF($H115="","",IF($H115&gt;=16,"Critique",IF($H115&gt;=9,"Élevé",IF($H115&gt;=5,"Moyen","Faible"))))</f>
        <v/>
      </c>
      <c r="J115" s="17"/>
      <c r="K115" s="15"/>
      <c r="L115" s="17"/>
      <c r="M115" s="18" t="str">
        <f aca="false">IF($H115="","",ROUND($H115*IFERROR(VLOOKUP($K115,Listes!$E$2:$F$5,2,FALSE()),1),0))</f>
        <v/>
      </c>
      <c r="N115" s="15" t="str">
        <f aca="false">IF($M115="","",IF($M115&gt;=16,"Critique",IF($M115&gt;=9,"Élevé",IF($M115&gt;=5,"Moyen","Faible"))))</f>
        <v/>
      </c>
      <c r="O115" s="15" t="str">
        <f aca="false">IF($M115="","",IF($M115&gt;=9,"OUI",""))</f>
        <v/>
      </c>
      <c r="P115" s="16"/>
      <c r="Q115" s="15"/>
      <c r="R115" s="15"/>
      <c r="T115" s="19" t="n">
        <f aca="false">IFERROR(ROUND(VALUE(LEFT(F115,1))*VALUE(LEFT(G115,1))*IFERROR(VLOOKUP($K115,Listes!$E$2:$F$5,2,FALSE()),1),0),0)</f>
        <v>0</v>
      </c>
    </row>
    <row r="116" customFormat="false" ht="15" hidden="false" customHeight="false" outlineLevel="0" collapsed="false">
      <c r="A116" s="15"/>
      <c r="B116" s="16"/>
      <c r="C116" s="16"/>
      <c r="D116" s="17"/>
      <c r="E116" s="17"/>
      <c r="F116" s="15"/>
      <c r="G116" s="15"/>
      <c r="H116" s="18" t="str">
        <f aca="false">IFERROR(VALUE(LEFT(F116,1))*VALUE(LEFT(G116,1)),"")</f>
        <v/>
      </c>
      <c r="I116" s="15" t="str">
        <f aca="false">IF($H116="","",IF($H116&gt;=16,"Critique",IF($H116&gt;=9,"Élevé",IF($H116&gt;=5,"Moyen","Faible"))))</f>
        <v/>
      </c>
      <c r="J116" s="17"/>
      <c r="K116" s="15"/>
      <c r="L116" s="17"/>
      <c r="M116" s="18" t="str">
        <f aca="false">IF($H116="","",ROUND($H116*IFERROR(VLOOKUP($K116,Listes!$E$2:$F$5,2,FALSE()),1),0))</f>
        <v/>
      </c>
      <c r="N116" s="15" t="str">
        <f aca="false">IF($M116="","",IF($M116&gt;=16,"Critique",IF($M116&gt;=9,"Élevé",IF($M116&gt;=5,"Moyen","Faible"))))</f>
        <v/>
      </c>
      <c r="O116" s="15" t="str">
        <f aca="false">IF($M116="","",IF($M116&gt;=9,"OUI",""))</f>
        <v/>
      </c>
      <c r="P116" s="16"/>
      <c r="Q116" s="15"/>
      <c r="R116" s="15"/>
      <c r="T116" s="19" t="n">
        <f aca="false">IFERROR(ROUND(VALUE(LEFT(F116,1))*VALUE(LEFT(G116,1))*IFERROR(VLOOKUP($K116,Listes!$E$2:$F$5,2,FALSE()),1),0),0)</f>
        <v>0</v>
      </c>
    </row>
    <row r="117" customFormat="false" ht="15" hidden="false" customHeight="false" outlineLevel="0" collapsed="false">
      <c r="A117" s="15"/>
      <c r="B117" s="16"/>
      <c r="C117" s="16"/>
      <c r="D117" s="17"/>
      <c r="E117" s="17"/>
      <c r="F117" s="15"/>
      <c r="G117" s="15"/>
      <c r="H117" s="18" t="str">
        <f aca="false">IFERROR(VALUE(LEFT(F117,1))*VALUE(LEFT(G117,1)),"")</f>
        <v/>
      </c>
      <c r="I117" s="15" t="str">
        <f aca="false">IF($H117="","",IF($H117&gt;=16,"Critique",IF($H117&gt;=9,"Élevé",IF($H117&gt;=5,"Moyen","Faible"))))</f>
        <v/>
      </c>
      <c r="J117" s="17"/>
      <c r="K117" s="15"/>
      <c r="L117" s="17"/>
      <c r="M117" s="18" t="str">
        <f aca="false">IF($H117="","",ROUND($H117*IFERROR(VLOOKUP($K117,Listes!$E$2:$F$5,2,FALSE()),1),0))</f>
        <v/>
      </c>
      <c r="N117" s="15" t="str">
        <f aca="false">IF($M117="","",IF($M117&gt;=16,"Critique",IF($M117&gt;=9,"Élevé",IF($M117&gt;=5,"Moyen","Faible"))))</f>
        <v/>
      </c>
      <c r="O117" s="15" t="str">
        <f aca="false">IF($M117="","",IF($M117&gt;=9,"OUI",""))</f>
        <v/>
      </c>
      <c r="P117" s="16"/>
      <c r="Q117" s="15"/>
      <c r="R117" s="15"/>
      <c r="T117" s="19" t="n">
        <f aca="false">IFERROR(ROUND(VALUE(LEFT(F117,1))*VALUE(LEFT(G117,1))*IFERROR(VLOOKUP($K117,Listes!$E$2:$F$5,2,FALSE()),1),0),0)</f>
        <v>0</v>
      </c>
    </row>
    <row r="118" customFormat="false" ht="15" hidden="false" customHeight="false" outlineLevel="0" collapsed="false">
      <c r="A118" s="15"/>
      <c r="B118" s="16"/>
      <c r="C118" s="16"/>
      <c r="D118" s="17"/>
      <c r="E118" s="17"/>
      <c r="F118" s="15"/>
      <c r="G118" s="15"/>
      <c r="H118" s="18" t="str">
        <f aca="false">IFERROR(VALUE(LEFT(F118,1))*VALUE(LEFT(G118,1)),"")</f>
        <v/>
      </c>
      <c r="I118" s="15" t="str">
        <f aca="false">IF($H118="","",IF($H118&gt;=16,"Critique",IF($H118&gt;=9,"Élevé",IF($H118&gt;=5,"Moyen","Faible"))))</f>
        <v/>
      </c>
      <c r="J118" s="17"/>
      <c r="K118" s="15"/>
      <c r="L118" s="17"/>
      <c r="M118" s="18" t="str">
        <f aca="false">IF($H118="","",ROUND($H118*IFERROR(VLOOKUP($K118,Listes!$E$2:$F$5,2,FALSE()),1),0))</f>
        <v/>
      </c>
      <c r="N118" s="15" t="str">
        <f aca="false">IF($M118="","",IF($M118&gt;=16,"Critique",IF($M118&gt;=9,"Élevé",IF($M118&gt;=5,"Moyen","Faible"))))</f>
        <v/>
      </c>
      <c r="O118" s="15" t="str">
        <f aca="false">IF($M118="","",IF($M118&gt;=9,"OUI",""))</f>
        <v/>
      </c>
      <c r="P118" s="16"/>
      <c r="Q118" s="15"/>
      <c r="R118" s="15"/>
      <c r="T118" s="19" t="n">
        <f aca="false">IFERROR(ROUND(VALUE(LEFT(F118,1))*VALUE(LEFT(G118,1))*IFERROR(VLOOKUP($K118,Listes!$E$2:$F$5,2,FALSE()),1),0),0)</f>
        <v>0</v>
      </c>
    </row>
    <row r="119" customFormat="false" ht="15" hidden="false" customHeight="false" outlineLevel="0" collapsed="false">
      <c r="A119" s="15"/>
      <c r="B119" s="16"/>
      <c r="C119" s="16"/>
      <c r="D119" s="17"/>
      <c r="E119" s="17"/>
      <c r="F119" s="15"/>
      <c r="G119" s="15"/>
      <c r="H119" s="18" t="str">
        <f aca="false">IFERROR(VALUE(LEFT(F119,1))*VALUE(LEFT(G119,1)),"")</f>
        <v/>
      </c>
      <c r="I119" s="15" t="str">
        <f aca="false">IF($H119="","",IF($H119&gt;=16,"Critique",IF($H119&gt;=9,"Élevé",IF($H119&gt;=5,"Moyen","Faible"))))</f>
        <v/>
      </c>
      <c r="J119" s="17"/>
      <c r="K119" s="15"/>
      <c r="L119" s="17"/>
      <c r="M119" s="18" t="str">
        <f aca="false">IF($H119="","",ROUND($H119*IFERROR(VLOOKUP($K119,Listes!$E$2:$F$5,2,FALSE()),1),0))</f>
        <v/>
      </c>
      <c r="N119" s="15" t="str">
        <f aca="false">IF($M119="","",IF($M119&gt;=16,"Critique",IF($M119&gt;=9,"Élevé",IF($M119&gt;=5,"Moyen","Faible"))))</f>
        <v/>
      </c>
      <c r="O119" s="15" t="str">
        <f aca="false">IF($M119="","",IF($M119&gt;=9,"OUI",""))</f>
        <v/>
      </c>
      <c r="P119" s="16"/>
      <c r="Q119" s="15"/>
      <c r="R119" s="15"/>
      <c r="T119" s="19" t="n">
        <f aca="false">IFERROR(ROUND(VALUE(LEFT(F119,1))*VALUE(LEFT(G119,1))*IFERROR(VLOOKUP($K119,Listes!$E$2:$F$5,2,FALSE()),1),0),0)</f>
        <v>0</v>
      </c>
    </row>
    <row r="120" customFormat="false" ht="15" hidden="false" customHeight="false" outlineLevel="0" collapsed="false">
      <c r="A120" s="15"/>
      <c r="B120" s="16"/>
      <c r="C120" s="16"/>
      <c r="D120" s="17"/>
      <c r="E120" s="17"/>
      <c r="F120" s="15"/>
      <c r="G120" s="15"/>
      <c r="H120" s="18" t="str">
        <f aca="false">IFERROR(VALUE(LEFT(F120,1))*VALUE(LEFT(G120,1)),"")</f>
        <v/>
      </c>
      <c r="I120" s="15" t="str">
        <f aca="false">IF($H120="","",IF($H120&gt;=16,"Critique",IF($H120&gt;=9,"Élevé",IF($H120&gt;=5,"Moyen","Faible"))))</f>
        <v/>
      </c>
      <c r="J120" s="17"/>
      <c r="K120" s="15"/>
      <c r="L120" s="17"/>
      <c r="M120" s="18" t="str">
        <f aca="false">IF($H120="","",ROUND($H120*IFERROR(VLOOKUP($K120,Listes!$E$2:$F$5,2,FALSE()),1),0))</f>
        <v/>
      </c>
      <c r="N120" s="15" t="str">
        <f aca="false">IF($M120="","",IF($M120&gt;=16,"Critique",IF($M120&gt;=9,"Élevé",IF($M120&gt;=5,"Moyen","Faible"))))</f>
        <v/>
      </c>
      <c r="O120" s="15" t="str">
        <f aca="false">IF($M120="","",IF($M120&gt;=9,"OUI",""))</f>
        <v/>
      </c>
      <c r="P120" s="16"/>
      <c r="Q120" s="15"/>
      <c r="R120" s="15"/>
      <c r="T120" s="19" t="n">
        <f aca="false">IFERROR(ROUND(VALUE(LEFT(F120,1))*VALUE(LEFT(G120,1))*IFERROR(VLOOKUP($K120,Listes!$E$2:$F$5,2,FALSE()),1),0),0)</f>
        <v>0</v>
      </c>
    </row>
    <row r="121" customFormat="false" ht="15" hidden="false" customHeight="false" outlineLevel="0" collapsed="false">
      <c r="A121" s="15"/>
      <c r="B121" s="16"/>
      <c r="C121" s="16"/>
      <c r="D121" s="17"/>
      <c r="E121" s="17"/>
      <c r="F121" s="15"/>
      <c r="G121" s="15"/>
      <c r="H121" s="18" t="str">
        <f aca="false">IFERROR(VALUE(LEFT(F121,1))*VALUE(LEFT(G121,1)),"")</f>
        <v/>
      </c>
      <c r="I121" s="15" t="str">
        <f aca="false">IF($H121="","",IF($H121&gt;=16,"Critique",IF($H121&gt;=9,"Élevé",IF($H121&gt;=5,"Moyen","Faible"))))</f>
        <v/>
      </c>
      <c r="J121" s="17"/>
      <c r="K121" s="15"/>
      <c r="L121" s="17"/>
      <c r="M121" s="18" t="str">
        <f aca="false">IF($H121="","",ROUND($H121*IFERROR(VLOOKUP($K121,Listes!$E$2:$F$5,2,FALSE()),1),0))</f>
        <v/>
      </c>
      <c r="N121" s="15" t="str">
        <f aca="false">IF($M121="","",IF($M121&gt;=16,"Critique",IF($M121&gt;=9,"Élevé",IF($M121&gt;=5,"Moyen","Faible"))))</f>
        <v/>
      </c>
      <c r="O121" s="15" t="str">
        <f aca="false">IF($M121="","",IF($M121&gt;=9,"OUI",""))</f>
        <v/>
      </c>
      <c r="P121" s="16"/>
      <c r="Q121" s="15"/>
      <c r="R121" s="15"/>
      <c r="T121" s="19" t="n">
        <f aca="false">IFERROR(ROUND(VALUE(LEFT(F121,1))*VALUE(LEFT(G121,1))*IFERROR(VLOOKUP($K121,Listes!$E$2:$F$5,2,FALSE()),1),0),0)</f>
        <v>0</v>
      </c>
    </row>
    <row r="122" customFormat="false" ht="15" hidden="false" customHeight="false" outlineLevel="0" collapsed="false">
      <c r="A122" s="15"/>
      <c r="B122" s="16"/>
      <c r="C122" s="16"/>
      <c r="D122" s="17"/>
      <c r="E122" s="17"/>
      <c r="F122" s="15"/>
      <c r="G122" s="15"/>
      <c r="H122" s="18" t="str">
        <f aca="false">IFERROR(VALUE(LEFT(F122,1))*VALUE(LEFT(G122,1)),"")</f>
        <v/>
      </c>
      <c r="I122" s="15" t="str">
        <f aca="false">IF($H122="","",IF($H122&gt;=16,"Critique",IF($H122&gt;=9,"Élevé",IF($H122&gt;=5,"Moyen","Faible"))))</f>
        <v/>
      </c>
      <c r="J122" s="17"/>
      <c r="K122" s="15"/>
      <c r="L122" s="17"/>
      <c r="M122" s="18" t="str">
        <f aca="false">IF($H122="","",ROUND($H122*IFERROR(VLOOKUP($K122,Listes!$E$2:$F$5,2,FALSE()),1),0))</f>
        <v/>
      </c>
      <c r="N122" s="15" t="str">
        <f aca="false">IF($M122="","",IF($M122&gt;=16,"Critique",IF($M122&gt;=9,"Élevé",IF($M122&gt;=5,"Moyen","Faible"))))</f>
        <v/>
      </c>
      <c r="O122" s="15" t="str">
        <f aca="false">IF($M122="","",IF($M122&gt;=9,"OUI",""))</f>
        <v/>
      </c>
      <c r="P122" s="16"/>
      <c r="Q122" s="15"/>
      <c r="R122" s="15"/>
      <c r="T122" s="19" t="n">
        <f aca="false">IFERROR(ROUND(VALUE(LEFT(F122,1))*VALUE(LEFT(G122,1))*IFERROR(VLOOKUP($K122,Listes!$E$2:$F$5,2,FALSE()),1),0),0)</f>
        <v>0</v>
      </c>
    </row>
    <row r="123" customFormat="false" ht="15" hidden="false" customHeight="false" outlineLevel="0" collapsed="false">
      <c r="A123" s="15"/>
      <c r="B123" s="16"/>
      <c r="C123" s="16"/>
      <c r="D123" s="17"/>
      <c r="E123" s="17"/>
      <c r="F123" s="15"/>
      <c r="G123" s="15"/>
      <c r="H123" s="18" t="str">
        <f aca="false">IFERROR(VALUE(LEFT(F123,1))*VALUE(LEFT(G123,1)),"")</f>
        <v/>
      </c>
      <c r="I123" s="15" t="str">
        <f aca="false">IF($H123="","",IF($H123&gt;=16,"Critique",IF($H123&gt;=9,"Élevé",IF($H123&gt;=5,"Moyen","Faible"))))</f>
        <v/>
      </c>
      <c r="J123" s="17"/>
      <c r="K123" s="15"/>
      <c r="L123" s="17"/>
      <c r="M123" s="18" t="str">
        <f aca="false">IF($H123="","",ROUND($H123*IFERROR(VLOOKUP($K123,Listes!$E$2:$F$5,2,FALSE()),1),0))</f>
        <v/>
      </c>
      <c r="N123" s="15" t="str">
        <f aca="false">IF($M123="","",IF($M123&gt;=16,"Critique",IF($M123&gt;=9,"Élevé",IF($M123&gt;=5,"Moyen","Faible"))))</f>
        <v/>
      </c>
      <c r="O123" s="15" t="str">
        <f aca="false">IF($M123="","",IF($M123&gt;=9,"OUI",""))</f>
        <v/>
      </c>
      <c r="P123" s="16"/>
      <c r="Q123" s="15"/>
      <c r="R123" s="15"/>
      <c r="T123" s="19" t="n">
        <f aca="false">IFERROR(ROUND(VALUE(LEFT(F123,1))*VALUE(LEFT(G123,1))*IFERROR(VLOOKUP($K123,Listes!$E$2:$F$5,2,FALSE()),1),0),0)</f>
        <v>0</v>
      </c>
    </row>
    <row r="124" customFormat="false" ht="15" hidden="false" customHeight="false" outlineLevel="0" collapsed="false">
      <c r="A124" s="15"/>
      <c r="B124" s="16"/>
      <c r="C124" s="16"/>
      <c r="D124" s="17"/>
      <c r="E124" s="17"/>
      <c r="F124" s="15"/>
      <c r="G124" s="15"/>
      <c r="H124" s="18" t="str">
        <f aca="false">IFERROR(VALUE(LEFT(F124,1))*VALUE(LEFT(G124,1)),"")</f>
        <v/>
      </c>
      <c r="I124" s="15" t="str">
        <f aca="false">IF($H124="","",IF($H124&gt;=16,"Critique",IF($H124&gt;=9,"Élevé",IF($H124&gt;=5,"Moyen","Faible"))))</f>
        <v/>
      </c>
      <c r="J124" s="17"/>
      <c r="K124" s="15"/>
      <c r="L124" s="17"/>
      <c r="M124" s="18" t="str">
        <f aca="false">IF($H124="","",ROUND($H124*IFERROR(VLOOKUP($K124,Listes!$E$2:$F$5,2,FALSE()),1),0))</f>
        <v/>
      </c>
      <c r="N124" s="15" t="str">
        <f aca="false">IF($M124="","",IF($M124&gt;=16,"Critique",IF($M124&gt;=9,"Élevé",IF($M124&gt;=5,"Moyen","Faible"))))</f>
        <v/>
      </c>
      <c r="O124" s="15" t="str">
        <f aca="false">IF($M124="","",IF($M124&gt;=9,"OUI",""))</f>
        <v/>
      </c>
      <c r="P124" s="16"/>
      <c r="Q124" s="15"/>
      <c r="R124" s="15"/>
      <c r="T124" s="19" t="n">
        <f aca="false">IFERROR(ROUND(VALUE(LEFT(F124,1))*VALUE(LEFT(G124,1))*IFERROR(VLOOKUP($K124,Listes!$E$2:$F$5,2,FALSE()),1),0),0)</f>
        <v>0</v>
      </c>
    </row>
    <row r="125" customFormat="false" ht="15" hidden="false" customHeight="false" outlineLevel="0" collapsed="false">
      <c r="A125" s="15"/>
      <c r="B125" s="16"/>
      <c r="C125" s="16"/>
      <c r="D125" s="17"/>
      <c r="E125" s="17"/>
      <c r="F125" s="15"/>
      <c r="G125" s="15"/>
      <c r="H125" s="18" t="str">
        <f aca="false">IFERROR(VALUE(LEFT(F125,1))*VALUE(LEFT(G125,1)),"")</f>
        <v/>
      </c>
      <c r="I125" s="15" t="str">
        <f aca="false">IF($H125="","",IF($H125&gt;=16,"Critique",IF($H125&gt;=9,"Élevé",IF($H125&gt;=5,"Moyen","Faible"))))</f>
        <v/>
      </c>
      <c r="J125" s="17"/>
      <c r="K125" s="15"/>
      <c r="L125" s="17"/>
      <c r="M125" s="18" t="str">
        <f aca="false">IF($H125="","",ROUND($H125*IFERROR(VLOOKUP($K125,Listes!$E$2:$F$5,2,FALSE()),1),0))</f>
        <v/>
      </c>
      <c r="N125" s="15" t="str">
        <f aca="false">IF($M125="","",IF($M125&gt;=16,"Critique",IF($M125&gt;=9,"Élevé",IF($M125&gt;=5,"Moyen","Faible"))))</f>
        <v/>
      </c>
      <c r="O125" s="15" t="str">
        <f aca="false">IF($M125="","",IF($M125&gt;=9,"OUI",""))</f>
        <v/>
      </c>
      <c r="P125" s="16"/>
      <c r="Q125" s="15"/>
      <c r="R125" s="15"/>
      <c r="T125" s="19" t="n">
        <f aca="false">IFERROR(ROUND(VALUE(LEFT(F125,1))*VALUE(LEFT(G125,1))*IFERROR(VLOOKUP($K125,Listes!$E$2:$F$5,2,FALSE()),1),0),0)</f>
        <v>0</v>
      </c>
    </row>
    <row r="126" customFormat="false" ht="15" hidden="false" customHeight="false" outlineLevel="0" collapsed="false">
      <c r="A126" s="15"/>
      <c r="B126" s="16"/>
      <c r="C126" s="16"/>
      <c r="D126" s="17"/>
      <c r="E126" s="17"/>
      <c r="F126" s="15"/>
      <c r="G126" s="15"/>
      <c r="H126" s="18" t="str">
        <f aca="false">IFERROR(VALUE(LEFT(F126,1))*VALUE(LEFT(G126,1)),"")</f>
        <v/>
      </c>
      <c r="I126" s="15" t="str">
        <f aca="false">IF($H126="","",IF($H126&gt;=16,"Critique",IF($H126&gt;=9,"Élevé",IF($H126&gt;=5,"Moyen","Faible"))))</f>
        <v/>
      </c>
      <c r="J126" s="17"/>
      <c r="K126" s="15"/>
      <c r="L126" s="17"/>
      <c r="M126" s="18" t="str">
        <f aca="false">IF($H126="","",ROUND($H126*IFERROR(VLOOKUP($K126,Listes!$E$2:$F$5,2,FALSE()),1),0))</f>
        <v/>
      </c>
      <c r="N126" s="15" t="str">
        <f aca="false">IF($M126="","",IF($M126&gt;=16,"Critique",IF($M126&gt;=9,"Élevé",IF($M126&gt;=5,"Moyen","Faible"))))</f>
        <v/>
      </c>
      <c r="O126" s="15" t="str">
        <f aca="false">IF($M126="","",IF($M126&gt;=9,"OUI",""))</f>
        <v/>
      </c>
      <c r="P126" s="16"/>
      <c r="Q126" s="15"/>
      <c r="R126" s="15"/>
      <c r="T126" s="19" t="n">
        <f aca="false">IFERROR(ROUND(VALUE(LEFT(F126,1))*VALUE(LEFT(G126,1))*IFERROR(VLOOKUP($K126,Listes!$E$2:$F$5,2,FALSE()),1),0),0)</f>
        <v>0</v>
      </c>
    </row>
    <row r="127" customFormat="false" ht="15" hidden="false" customHeight="false" outlineLevel="0" collapsed="false">
      <c r="A127" s="15"/>
      <c r="B127" s="16"/>
      <c r="C127" s="16"/>
      <c r="D127" s="17"/>
      <c r="E127" s="17"/>
      <c r="F127" s="15"/>
      <c r="G127" s="15"/>
      <c r="H127" s="18" t="str">
        <f aca="false">IFERROR(VALUE(LEFT(F127,1))*VALUE(LEFT(G127,1)),"")</f>
        <v/>
      </c>
      <c r="I127" s="15" t="str">
        <f aca="false">IF($H127="","",IF($H127&gt;=16,"Critique",IF($H127&gt;=9,"Élevé",IF($H127&gt;=5,"Moyen","Faible"))))</f>
        <v/>
      </c>
      <c r="J127" s="17"/>
      <c r="K127" s="15"/>
      <c r="L127" s="17"/>
      <c r="M127" s="18" t="str">
        <f aca="false">IF($H127="","",ROUND($H127*IFERROR(VLOOKUP($K127,Listes!$E$2:$F$5,2,FALSE()),1),0))</f>
        <v/>
      </c>
      <c r="N127" s="15" t="str">
        <f aca="false">IF($M127="","",IF($M127&gt;=16,"Critique",IF($M127&gt;=9,"Élevé",IF($M127&gt;=5,"Moyen","Faible"))))</f>
        <v/>
      </c>
      <c r="O127" s="15" t="str">
        <f aca="false">IF($M127="","",IF($M127&gt;=9,"OUI",""))</f>
        <v/>
      </c>
      <c r="P127" s="16"/>
      <c r="Q127" s="15"/>
      <c r="R127" s="15"/>
      <c r="T127" s="19" t="n">
        <f aca="false">IFERROR(ROUND(VALUE(LEFT(F127,1))*VALUE(LEFT(G127,1))*IFERROR(VLOOKUP($K127,Listes!$E$2:$F$5,2,FALSE()),1),0),0)</f>
        <v>0</v>
      </c>
    </row>
    <row r="128" customFormat="false" ht="15" hidden="false" customHeight="false" outlineLevel="0" collapsed="false">
      <c r="A128" s="15"/>
      <c r="B128" s="16"/>
      <c r="C128" s="16"/>
      <c r="D128" s="17"/>
      <c r="E128" s="17"/>
      <c r="F128" s="15"/>
      <c r="G128" s="15"/>
      <c r="H128" s="18" t="str">
        <f aca="false">IFERROR(VALUE(LEFT(F128,1))*VALUE(LEFT(G128,1)),"")</f>
        <v/>
      </c>
      <c r="I128" s="15" t="str">
        <f aca="false">IF($H128="","",IF($H128&gt;=16,"Critique",IF($H128&gt;=9,"Élevé",IF($H128&gt;=5,"Moyen","Faible"))))</f>
        <v/>
      </c>
      <c r="J128" s="17"/>
      <c r="K128" s="15"/>
      <c r="L128" s="17"/>
      <c r="M128" s="18" t="str">
        <f aca="false">IF($H128="","",ROUND($H128*IFERROR(VLOOKUP($K128,Listes!$E$2:$F$5,2,FALSE()),1),0))</f>
        <v/>
      </c>
      <c r="N128" s="15" t="str">
        <f aca="false">IF($M128="","",IF($M128&gt;=16,"Critique",IF($M128&gt;=9,"Élevé",IF($M128&gt;=5,"Moyen","Faible"))))</f>
        <v/>
      </c>
      <c r="O128" s="15" t="str">
        <f aca="false">IF($M128="","",IF($M128&gt;=9,"OUI",""))</f>
        <v/>
      </c>
      <c r="P128" s="16"/>
      <c r="Q128" s="15"/>
      <c r="R128" s="15"/>
      <c r="T128" s="19" t="n">
        <f aca="false">IFERROR(ROUND(VALUE(LEFT(F128,1))*VALUE(LEFT(G128,1))*IFERROR(VLOOKUP($K128,Listes!$E$2:$F$5,2,FALSE()),1),0),0)</f>
        <v>0</v>
      </c>
    </row>
    <row r="129" customFormat="false" ht="15" hidden="false" customHeight="false" outlineLevel="0" collapsed="false">
      <c r="A129" s="15"/>
      <c r="B129" s="16"/>
      <c r="C129" s="16"/>
      <c r="D129" s="17"/>
      <c r="E129" s="17"/>
      <c r="F129" s="15"/>
      <c r="G129" s="15"/>
      <c r="H129" s="18" t="str">
        <f aca="false">IFERROR(VALUE(LEFT(F129,1))*VALUE(LEFT(G129,1)),"")</f>
        <v/>
      </c>
      <c r="I129" s="15" t="str">
        <f aca="false">IF($H129="","",IF($H129&gt;=16,"Critique",IF($H129&gt;=9,"Élevé",IF($H129&gt;=5,"Moyen","Faible"))))</f>
        <v/>
      </c>
      <c r="J129" s="17"/>
      <c r="K129" s="15"/>
      <c r="L129" s="17"/>
      <c r="M129" s="18" t="str">
        <f aca="false">IF($H129="","",ROUND($H129*IFERROR(VLOOKUP($K129,Listes!$E$2:$F$5,2,FALSE()),1),0))</f>
        <v/>
      </c>
      <c r="N129" s="15" t="str">
        <f aca="false">IF($M129="","",IF($M129&gt;=16,"Critique",IF($M129&gt;=9,"Élevé",IF($M129&gt;=5,"Moyen","Faible"))))</f>
        <v/>
      </c>
      <c r="O129" s="15" t="str">
        <f aca="false">IF($M129="","",IF($M129&gt;=9,"OUI",""))</f>
        <v/>
      </c>
      <c r="P129" s="16"/>
      <c r="Q129" s="15"/>
      <c r="R129" s="15"/>
      <c r="T129" s="19" t="n">
        <f aca="false">IFERROR(ROUND(VALUE(LEFT(F129,1))*VALUE(LEFT(G129,1))*IFERROR(VLOOKUP($K129,Listes!$E$2:$F$5,2,FALSE()),1),0),0)</f>
        <v>0</v>
      </c>
    </row>
    <row r="130" customFormat="false" ht="15" hidden="false" customHeight="false" outlineLevel="0" collapsed="false">
      <c r="A130" s="15"/>
      <c r="B130" s="16"/>
      <c r="C130" s="16"/>
      <c r="D130" s="17"/>
      <c r="E130" s="17"/>
      <c r="F130" s="15"/>
      <c r="G130" s="15"/>
      <c r="H130" s="18" t="str">
        <f aca="false">IFERROR(VALUE(LEFT(F130,1))*VALUE(LEFT(G130,1)),"")</f>
        <v/>
      </c>
      <c r="I130" s="15" t="str">
        <f aca="false">IF($H130="","",IF($H130&gt;=16,"Critique",IF($H130&gt;=9,"Élevé",IF($H130&gt;=5,"Moyen","Faible"))))</f>
        <v/>
      </c>
      <c r="J130" s="17"/>
      <c r="K130" s="15"/>
      <c r="L130" s="17"/>
      <c r="M130" s="18" t="str">
        <f aca="false">IF($H130="","",ROUND($H130*IFERROR(VLOOKUP($K130,Listes!$E$2:$F$5,2,FALSE()),1),0))</f>
        <v/>
      </c>
      <c r="N130" s="15" t="str">
        <f aca="false">IF($M130="","",IF($M130&gt;=16,"Critique",IF($M130&gt;=9,"Élevé",IF($M130&gt;=5,"Moyen","Faible"))))</f>
        <v/>
      </c>
      <c r="O130" s="15" t="str">
        <f aca="false">IF($M130="","",IF($M130&gt;=9,"OUI",""))</f>
        <v/>
      </c>
      <c r="P130" s="16"/>
      <c r="Q130" s="15"/>
      <c r="R130" s="15"/>
      <c r="T130" s="19" t="n">
        <f aca="false">IFERROR(ROUND(VALUE(LEFT(F130,1))*VALUE(LEFT(G130,1))*IFERROR(VLOOKUP($K130,Listes!$E$2:$F$5,2,FALSE()),1),0),0)</f>
        <v>0</v>
      </c>
    </row>
    <row r="131" customFormat="false" ht="15" hidden="false" customHeight="false" outlineLevel="0" collapsed="false">
      <c r="A131" s="15"/>
      <c r="B131" s="16"/>
      <c r="C131" s="16"/>
      <c r="D131" s="17"/>
      <c r="E131" s="17"/>
      <c r="F131" s="15"/>
      <c r="G131" s="15"/>
      <c r="H131" s="18" t="str">
        <f aca="false">IFERROR(VALUE(LEFT(F131,1))*VALUE(LEFT(G131,1)),"")</f>
        <v/>
      </c>
      <c r="I131" s="15" t="str">
        <f aca="false">IF($H131="","",IF($H131&gt;=16,"Critique",IF($H131&gt;=9,"Élevé",IF($H131&gt;=5,"Moyen","Faible"))))</f>
        <v/>
      </c>
      <c r="J131" s="17"/>
      <c r="K131" s="15"/>
      <c r="L131" s="17"/>
      <c r="M131" s="18" t="str">
        <f aca="false">IF($H131="","",ROUND($H131*IFERROR(VLOOKUP($K131,Listes!$E$2:$F$5,2,FALSE()),1),0))</f>
        <v/>
      </c>
      <c r="N131" s="15" t="str">
        <f aca="false">IF($M131="","",IF($M131&gt;=16,"Critique",IF($M131&gt;=9,"Élevé",IF($M131&gt;=5,"Moyen","Faible"))))</f>
        <v/>
      </c>
      <c r="O131" s="15" t="str">
        <f aca="false">IF($M131="","",IF($M131&gt;=9,"OUI",""))</f>
        <v/>
      </c>
      <c r="P131" s="16"/>
      <c r="Q131" s="15"/>
      <c r="R131" s="15"/>
      <c r="T131" s="19" t="n">
        <f aca="false">IFERROR(ROUND(VALUE(LEFT(F131,1))*VALUE(LEFT(G131,1))*IFERROR(VLOOKUP($K131,Listes!$E$2:$F$5,2,FALSE()),1),0),0)</f>
        <v>0</v>
      </c>
    </row>
    <row r="132" customFormat="false" ht="15" hidden="false" customHeight="false" outlineLevel="0" collapsed="false">
      <c r="A132" s="15"/>
      <c r="B132" s="16"/>
      <c r="C132" s="16"/>
      <c r="D132" s="17"/>
      <c r="E132" s="17"/>
      <c r="F132" s="15"/>
      <c r="G132" s="15"/>
      <c r="H132" s="18" t="str">
        <f aca="false">IFERROR(VALUE(LEFT(F132,1))*VALUE(LEFT(G132,1)),"")</f>
        <v/>
      </c>
      <c r="I132" s="15" t="str">
        <f aca="false">IF($H132="","",IF($H132&gt;=16,"Critique",IF($H132&gt;=9,"Élevé",IF($H132&gt;=5,"Moyen","Faible"))))</f>
        <v/>
      </c>
      <c r="J132" s="17"/>
      <c r="K132" s="15"/>
      <c r="L132" s="17"/>
      <c r="M132" s="18" t="str">
        <f aca="false">IF($H132="","",ROUND($H132*IFERROR(VLOOKUP($K132,Listes!$E$2:$F$5,2,FALSE()),1),0))</f>
        <v/>
      </c>
      <c r="N132" s="15" t="str">
        <f aca="false">IF($M132="","",IF($M132&gt;=16,"Critique",IF($M132&gt;=9,"Élevé",IF($M132&gt;=5,"Moyen","Faible"))))</f>
        <v/>
      </c>
      <c r="O132" s="15" t="str">
        <f aca="false">IF($M132="","",IF($M132&gt;=9,"OUI",""))</f>
        <v/>
      </c>
      <c r="P132" s="16"/>
      <c r="Q132" s="15"/>
      <c r="R132" s="15"/>
      <c r="T132" s="19" t="n">
        <f aca="false">IFERROR(ROUND(VALUE(LEFT(F132,1))*VALUE(LEFT(G132,1))*IFERROR(VLOOKUP($K132,Listes!$E$2:$F$5,2,FALSE()),1),0),0)</f>
        <v>0</v>
      </c>
    </row>
    <row r="133" customFormat="false" ht="15" hidden="false" customHeight="false" outlineLevel="0" collapsed="false">
      <c r="A133" s="15"/>
      <c r="B133" s="16"/>
      <c r="C133" s="16"/>
      <c r="D133" s="17"/>
      <c r="E133" s="17"/>
      <c r="F133" s="15"/>
      <c r="G133" s="15"/>
      <c r="H133" s="18" t="str">
        <f aca="false">IFERROR(VALUE(LEFT(F133,1))*VALUE(LEFT(G133,1)),"")</f>
        <v/>
      </c>
      <c r="I133" s="15" t="str">
        <f aca="false">IF($H133="","",IF($H133&gt;=16,"Critique",IF($H133&gt;=9,"Élevé",IF($H133&gt;=5,"Moyen","Faible"))))</f>
        <v/>
      </c>
      <c r="J133" s="17"/>
      <c r="K133" s="15"/>
      <c r="L133" s="17"/>
      <c r="M133" s="18" t="str">
        <f aca="false">IF($H133="","",ROUND($H133*IFERROR(VLOOKUP($K133,Listes!$E$2:$F$5,2,FALSE()),1),0))</f>
        <v/>
      </c>
      <c r="N133" s="15" t="str">
        <f aca="false">IF($M133="","",IF($M133&gt;=16,"Critique",IF($M133&gt;=9,"Élevé",IF($M133&gt;=5,"Moyen","Faible"))))</f>
        <v/>
      </c>
      <c r="O133" s="15" t="str">
        <f aca="false">IF($M133="","",IF($M133&gt;=9,"OUI",""))</f>
        <v/>
      </c>
      <c r="P133" s="16"/>
      <c r="Q133" s="15"/>
      <c r="R133" s="15"/>
      <c r="T133" s="19" t="n">
        <f aca="false">IFERROR(ROUND(VALUE(LEFT(F133,1))*VALUE(LEFT(G133,1))*IFERROR(VLOOKUP($K133,Listes!$E$2:$F$5,2,FALSE()),1),0),0)</f>
        <v>0</v>
      </c>
    </row>
    <row r="134" customFormat="false" ht="15" hidden="false" customHeight="false" outlineLevel="0" collapsed="false">
      <c r="A134" s="15"/>
      <c r="B134" s="16"/>
      <c r="C134" s="16"/>
      <c r="D134" s="17"/>
      <c r="E134" s="17"/>
      <c r="F134" s="15"/>
      <c r="G134" s="15"/>
      <c r="H134" s="18" t="str">
        <f aca="false">IFERROR(VALUE(LEFT(F134,1))*VALUE(LEFT(G134,1)),"")</f>
        <v/>
      </c>
      <c r="I134" s="15" t="str">
        <f aca="false">IF($H134="","",IF($H134&gt;=16,"Critique",IF($H134&gt;=9,"Élevé",IF($H134&gt;=5,"Moyen","Faible"))))</f>
        <v/>
      </c>
      <c r="J134" s="17"/>
      <c r="K134" s="15"/>
      <c r="L134" s="17"/>
      <c r="M134" s="18" t="str">
        <f aca="false">IF($H134="","",ROUND($H134*IFERROR(VLOOKUP($K134,Listes!$E$2:$F$5,2,FALSE()),1),0))</f>
        <v/>
      </c>
      <c r="N134" s="15" t="str">
        <f aca="false">IF($M134="","",IF($M134&gt;=16,"Critique",IF($M134&gt;=9,"Élevé",IF($M134&gt;=5,"Moyen","Faible"))))</f>
        <v/>
      </c>
      <c r="O134" s="15" t="str">
        <f aca="false">IF($M134="","",IF($M134&gt;=9,"OUI",""))</f>
        <v/>
      </c>
      <c r="P134" s="16"/>
      <c r="Q134" s="15"/>
      <c r="R134" s="15"/>
      <c r="T134" s="19" t="n">
        <f aca="false">IFERROR(ROUND(VALUE(LEFT(F134,1))*VALUE(LEFT(G134,1))*IFERROR(VLOOKUP($K134,Listes!$E$2:$F$5,2,FALSE()),1),0),0)</f>
        <v>0</v>
      </c>
    </row>
    <row r="135" customFormat="false" ht="15" hidden="false" customHeight="false" outlineLevel="0" collapsed="false">
      <c r="A135" s="15"/>
      <c r="B135" s="16"/>
      <c r="C135" s="16"/>
      <c r="D135" s="17"/>
      <c r="E135" s="17"/>
      <c r="F135" s="15"/>
      <c r="G135" s="15"/>
      <c r="H135" s="18" t="str">
        <f aca="false">IFERROR(VALUE(LEFT(F135,1))*VALUE(LEFT(G135,1)),"")</f>
        <v/>
      </c>
      <c r="I135" s="15" t="str">
        <f aca="false">IF($H135="","",IF($H135&gt;=16,"Critique",IF($H135&gt;=9,"Élevé",IF($H135&gt;=5,"Moyen","Faible"))))</f>
        <v/>
      </c>
      <c r="J135" s="17"/>
      <c r="K135" s="15"/>
      <c r="L135" s="17"/>
      <c r="M135" s="18" t="str">
        <f aca="false">IF($H135="","",ROUND($H135*IFERROR(VLOOKUP($K135,Listes!$E$2:$F$5,2,FALSE()),1),0))</f>
        <v/>
      </c>
      <c r="N135" s="15" t="str">
        <f aca="false">IF($M135="","",IF($M135&gt;=16,"Critique",IF($M135&gt;=9,"Élevé",IF($M135&gt;=5,"Moyen","Faible"))))</f>
        <v/>
      </c>
      <c r="O135" s="15" t="str">
        <f aca="false">IF($M135="","",IF($M135&gt;=9,"OUI",""))</f>
        <v/>
      </c>
      <c r="P135" s="16"/>
      <c r="Q135" s="15"/>
      <c r="R135" s="15"/>
      <c r="T135" s="19" t="n">
        <f aca="false">IFERROR(ROUND(VALUE(LEFT(F135,1))*VALUE(LEFT(G135,1))*IFERROR(VLOOKUP($K135,Listes!$E$2:$F$5,2,FALSE()),1),0),0)</f>
        <v>0</v>
      </c>
    </row>
    <row r="136" customFormat="false" ht="15" hidden="false" customHeight="false" outlineLevel="0" collapsed="false">
      <c r="A136" s="15"/>
      <c r="B136" s="16"/>
      <c r="C136" s="16"/>
      <c r="D136" s="17"/>
      <c r="E136" s="17"/>
      <c r="F136" s="15"/>
      <c r="G136" s="15"/>
      <c r="H136" s="18" t="str">
        <f aca="false">IFERROR(VALUE(LEFT(F136,1))*VALUE(LEFT(G136,1)),"")</f>
        <v/>
      </c>
      <c r="I136" s="15" t="str">
        <f aca="false">IF($H136="","",IF($H136&gt;=16,"Critique",IF($H136&gt;=9,"Élevé",IF($H136&gt;=5,"Moyen","Faible"))))</f>
        <v/>
      </c>
      <c r="J136" s="17"/>
      <c r="K136" s="15"/>
      <c r="L136" s="17"/>
      <c r="M136" s="18" t="str">
        <f aca="false">IF($H136="","",ROUND($H136*IFERROR(VLOOKUP($K136,Listes!$E$2:$F$5,2,FALSE()),1),0))</f>
        <v/>
      </c>
      <c r="N136" s="15" t="str">
        <f aca="false">IF($M136="","",IF($M136&gt;=16,"Critique",IF($M136&gt;=9,"Élevé",IF($M136&gt;=5,"Moyen","Faible"))))</f>
        <v/>
      </c>
      <c r="O136" s="15" t="str">
        <f aca="false">IF($M136="","",IF($M136&gt;=9,"OUI",""))</f>
        <v/>
      </c>
      <c r="P136" s="16"/>
      <c r="Q136" s="15"/>
      <c r="R136" s="15"/>
      <c r="T136" s="19" t="n">
        <f aca="false">IFERROR(ROUND(VALUE(LEFT(F136,1))*VALUE(LEFT(G136,1))*IFERROR(VLOOKUP($K136,Listes!$E$2:$F$5,2,FALSE()),1),0),0)</f>
        <v>0</v>
      </c>
    </row>
    <row r="137" customFormat="false" ht="15" hidden="false" customHeight="false" outlineLevel="0" collapsed="false">
      <c r="A137" s="15"/>
      <c r="B137" s="16"/>
      <c r="C137" s="16"/>
      <c r="D137" s="17"/>
      <c r="E137" s="17"/>
      <c r="F137" s="15"/>
      <c r="G137" s="15"/>
      <c r="H137" s="18" t="str">
        <f aca="false">IFERROR(VALUE(LEFT(F137,1))*VALUE(LEFT(G137,1)),"")</f>
        <v/>
      </c>
      <c r="I137" s="15" t="str">
        <f aca="false">IF($H137="","",IF($H137&gt;=16,"Critique",IF($H137&gt;=9,"Élevé",IF($H137&gt;=5,"Moyen","Faible"))))</f>
        <v/>
      </c>
      <c r="J137" s="17"/>
      <c r="K137" s="15"/>
      <c r="L137" s="17"/>
      <c r="M137" s="18" t="str">
        <f aca="false">IF($H137="","",ROUND($H137*IFERROR(VLOOKUP($K137,Listes!$E$2:$F$5,2,FALSE()),1),0))</f>
        <v/>
      </c>
      <c r="N137" s="15" t="str">
        <f aca="false">IF($M137="","",IF($M137&gt;=16,"Critique",IF($M137&gt;=9,"Élevé",IF($M137&gt;=5,"Moyen","Faible"))))</f>
        <v/>
      </c>
      <c r="O137" s="15" t="str">
        <f aca="false">IF($M137="","",IF($M137&gt;=9,"OUI",""))</f>
        <v/>
      </c>
      <c r="P137" s="16"/>
      <c r="Q137" s="15"/>
      <c r="R137" s="15"/>
      <c r="T137" s="19" t="n">
        <f aca="false">IFERROR(ROUND(VALUE(LEFT(F137,1))*VALUE(LEFT(G137,1))*IFERROR(VLOOKUP($K137,Listes!$E$2:$F$5,2,FALSE()),1),0),0)</f>
        <v>0</v>
      </c>
    </row>
    <row r="138" customFormat="false" ht="15" hidden="false" customHeight="false" outlineLevel="0" collapsed="false">
      <c r="A138" s="15"/>
      <c r="B138" s="16"/>
      <c r="C138" s="16"/>
      <c r="D138" s="17"/>
      <c r="E138" s="17"/>
      <c r="F138" s="15"/>
      <c r="G138" s="15"/>
      <c r="H138" s="18" t="str">
        <f aca="false">IFERROR(VALUE(LEFT(F138,1))*VALUE(LEFT(G138,1)),"")</f>
        <v/>
      </c>
      <c r="I138" s="15" t="str">
        <f aca="false">IF($H138="","",IF($H138&gt;=16,"Critique",IF($H138&gt;=9,"Élevé",IF($H138&gt;=5,"Moyen","Faible"))))</f>
        <v/>
      </c>
      <c r="J138" s="17"/>
      <c r="K138" s="15"/>
      <c r="L138" s="17"/>
      <c r="M138" s="18" t="str">
        <f aca="false">IF($H138="","",ROUND($H138*IFERROR(VLOOKUP($K138,Listes!$E$2:$F$5,2,FALSE()),1),0))</f>
        <v/>
      </c>
      <c r="N138" s="15" t="str">
        <f aca="false">IF($M138="","",IF($M138&gt;=16,"Critique",IF($M138&gt;=9,"Élevé",IF($M138&gt;=5,"Moyen","Faible"))))</f>
        <v/>
      </c>
      <c r="O138" s="15" t="str">
        <f aca="false">IF($M138="","",IF($M138&gt;=9,"OUI",""))</f>
        <v/>
      </c>
      <c r="P138" s="16"/>
      <c r="Q138" s="15"/>
      <c r="R138" s="15"/>
      <c r="T138" s="19" t="n">
        <f aca="false">IFERROR(ROUND(VALUE(LEFT(F138,1))*VALUE(LEFT(G138,1))*IFERROR(VLOOKUP($K138,Listes!$E$2:$F$5,2,FALSE()),1),0),0)</f>
        <v>0</v>
      </c>
    </row>
    <row r="139" customFormat="false" ht="15" hidden="false" customHeight="false" outlineLevel="0" collapsed="false">
      <c r="A139" s="15"/>
      <c r="B139" s="16"/>
      <c r="C139" s="16"/>
      <c r="D139" s="17"/>
      <c r="E139" s="17"/>
      <c r="F139" s="15"/>
      <c r="G139" s="15"/>
      <c r="H139" s="18" t="str">
        <f aca="false">IFERROR(VALUE(LEFT(F139,1))*VALUE(LEFT(G139,1)),"")</f>
        <v/>
      </c>
      <c r="I139" s="15" t="str">
        <f aca="false">IF($H139="","",IF($H139&gt;=16,"Critique",IF($H139&gt;=9,"Élevé",IF($H139&gt;=5,"Moyen","Faible"))))</f>
        <v/>
      </c>
      <c r="J139" s="17"/>
      <c r="K139" s="15"/>
      <c r="L139" s="17"/>
      <c r="M139" s="18" t="str">
        <f aca="false">IF($H139="","",ROUND($H139*IFERROR(VLOOKUP($K139,Listes!$E$2:$F$5,2,FALSE()),1),0))</f>
        <v/>
      </c>
      <c r="N139" s="15" t="str">
        <f aca="false">IF($M139="","",IF($M139&gt;=16,"Critique",IF($M139&gt;=9,"Élevé",IF($M139&gt;=5,"Moyen","Faible"))))</f>
        <v/>
      </c>
      <c r="O139" s="15" t="str">
        <f aca="false">IF($M139="","",IF($M139&gt;=9,"OUI",""))</f>
        <v/>
      </c>
      <c r="P139" s="16"/>
      <c r="Q139" s="15"/>
      <c r="R139" s="15"/>
      <c r="T139" s="19" t="n">
        <f aca="false">IFERROR(ROUND(VALUE(LEFT(F139,1))*VALUE(LEFT(G139,1))*IFERROR(VLOOKUP($K139,Listes!$E$2:$F$5,2,FALSE()),1),0),0)</f>
        <v>0</v>
      </c>
    </row>
    <row r="140" customFormat="false" ht="15" hidden="false" customHeight="false" outlineLevel="0" collapsed="false">
      <c r="A140" s="15"/>
      <c r="B140" s="16"/>
      <c r="C140" s="16"/>
      <c r="D140" s="17"/>
      <c r="E140" s="17"/>
      <c r="F140" s="15"/>
      <c r="G140" s="15"/>
      <c r="H140" s="18" t="str">
        <f aca="false">IFERROR(VALUE(LEFT(F140,1))*VALUE(LEFT(G140,1)),"")</f>
        <v/>
      </c>
      <c r="I140" s="15" t="str">
        <f aca="false">IF($H140="","",IF($H140&gt;=16,"Critique",IF($H140&gt;=9,"Élevé",IF($H140&gt;=5,"Moyen","Faible"))))</f>
        <v/>
      </c>
      <c r="J140" s="17"/>
      <c r="K140" s="15"/>
      <c r="L140" s="17"/>
      <c r="M140" s="18" t="str">
        <f aca="false">IF($H140="","",ROUND($H140*IFERROR(VLOOKUP($K140,Listes!$E$2:$F$5,2,FALSE()),1),0))</f>
        <v/>
      </c>
      <c r="N140" s="15" t="str">
        <f aca="false">IF($M140="","",IF($M140&gt;=16,"Critique",IF($M140&gt;=9,"Élevé",IF($M140&gt;=5,"Moyen","Faible"))))</f>
        <v/>
      </c>
      <c r="O140" s="15" t="str">
        <f aca="false">IF($M140="","",IF($M140&gt;=9,"OUI",""))</f>
        <v/>
      </c>
      <c r="P140" s="16"/>
      <c r="Q140" s="15"/>
      <c r="R140" s="15"/>
      <c r="T140" s="19" t="n">
        <f aca="false">IFERROR(ROUND(VALUE(LEFT(F140,1))*VALUE(LEFT(G140,1))*IFERROR(VLOOKUP($K140,Listes!$E$2:$F$5,2,FALSE()),1),0),0)</f>
        <v>0</v>
      </c>
    </row>
    <row r="141" customFormat="false" ht="15" hidden="false" customHeight="false" outlineLevel="0" collapsed="false">
      <c r="A141" s="15"/>
      <c r="B141" s="16"/>
      <c r="C141" s="16"/>
      <c r="D141" s="17"/>
      <c r="E141" s="17"/>
      <c r="F141" s="15"/>
      <c r="G141" s="15"/>
      <c r="H141" s="18" t="str">
        <f aca="false">IFERROR(VALUE(LEFT(F141,1))*VALUE(LEFT(G141,1)),"")</f>
        <v/>
      </c>
      <c r="I141" s="15" t="str">
        <f aca="false">IF($H141="","",IF($H141&gt;=16,"Critique",IF($H141&gt;=9,"Élevé",IF($H141&gt;=5,"Moyen","Faible"))))</f>
        <v/>
      </c>
      <c r="J141" s="17"/>
      <c r="K141" s="15"/>
      <c r="L141" s="17"/>
      <c r="M141" s="18" t="str">
        <f aca="false">IF($H141="","",ROUND($H141*IFERROR(VLOOKUP($K141,Listes!$E$2:$F$5,2,FALSE()),1),0))</f>
        <v/>
      </c>
      <c r="N141" s="15" t="str">
        <f aca="false">IF($M141="","",IF($M141&gt;=16,"Critique",IF($M141&gt;=9,"Élevé",IF($M141&gt;=5,"Moyen","Faible"))))</f>
        <v/>
      </c>
      <c r="O141" s="15" t="str">
        <f aca="false">IF($M141="","",IF($M141&gt;=9,"OUI",""))</f>
        <v/>
      </c>
      <c r="P141" s="16"/>
      <c r="Q141" s="15"/>
      <c r="R141" s="15"/>
      <c r="T141" s="19" t="n">
        <f aca="false">IFERROR(ROUND(VALUE(LEFT(F141,1))*VALUE(LEFT(G141,1))*IFERROR(VLOOKUP($K141,Listes!$E$2:$F$5,2,FALSE()),1),0),0)</f>
        <v>0</v>
      </c>
    </row>
    <row r="142" customFormat="false" ht="15" hidden="false" customHeight="false" outlineLevel="0" collapsed="false">
      <c r="A142" s="15"/>
      <c r="B142" s="16"/>
      <c r="C142" s="16"/>
      <c r="D142" s="17"/>
      <c r="E142" s="17"/>
      <c r="F142" s="15"/>
      <c r="G142" s="15"/>
      <c r="H142" s="18" t="str">
        <f aca="false">IFERROR(VALUE(LEFT(F142,1))*VALUE(LEFT(G142,1)),"")</f>
        <v/>
      </c>
      <c r="I142" s="15" t="str">
        <f aca="false">IF($H142="","",IF($H142&gt;=16,"Critique",IF($H142&gt;=9,"Élevé",IF($H142&gt;=5,"Moyen","Faible"))))</f>
        <v/>
      </c>
      <c r="J142" s="17"/>
      <c r="K142" s="15"/>
      <c r="L142" s="17"/>
      <c r="M142" s="18" t="str">
        <f aca="false">IF($H142="","",ROUND($H142*IFERROR(VLOOKUP($K142,Listes!$E$2:$F$5,2,FALSE()),1),0))</f>
        <v/>
      </c>
      <c r="N142" s="15" t="str">
        <f aca="false">IF($M142="","",IF($M142&gt;=16,"Critique",IF($M142&gt;=9,"Élevé",IF($M142&gt;=5,"Moyen","Faible"))))</f>
        <v/>
      </c>
      <c r="O142" s="15" t="str">
        <f aca="false">IF($M142="","",IF($M142&gt;=9,"OUI",""))</f>
        <v/>
      </c>
      <c r="P142" s="16"/>
      <c r="Q142" s="15"/>
      <c r="R142" s="15"/>
      <c r="T142" s="19" t="n">
        <f aca="false">IFERROR(ROUND(VALUE(LEFT(F142,1))*VALUE(LEFT(G142,1))*IFERROR(VLOOKUP($K142,Listes!$E$2:$F$5,2,FALSE()),1),0),0)</f>
        <v>0</v>
      </c>
    </row>
    <row r="143" customFormat="false" ht="15" hidden="false" customHeight="false" outlineLevel="0" collapsed="false">
      <c r="A143" s="15"/>
      <c r="B143" s="16"/>
      <c r="C143" s="16"/>
      <c r="D143" s="17"/>
      <c r="E143" s="17"/>
      <c r="F143" s="15"/>
      <c r="G143" s="15"/>
      <c r="H143" s="18" t="str">
        <f aca="false">IFERROR(VALUE(LEFT(F143,1))*VALUE(LEFT(G143,1)),"")</f>
        <v/>
      </c>
      <c r="I143" s="15" t="str">
        <f aca="false">IF($H143="","",IF($H143&gt;=16,"Critique",IF($H143&gt;=9,"Élevé",IF($H143&gt;=5,"Moyen","Faible"))))</f>
        <v/>
      </c>
      <c r="J143" s="17"/>
      <c r="K143" s="15"/>
      <c r="L143" s="17"/>
      <c r="M143" s="18" t="str">
        <f aca="false">IF($H143="","",ROUND($H143*IFERROR(VLOOKUP($K143,Listes!$E$2:$F$5,2,FALSE()),1),0))</f>
        <v/>
      </c>
      <c r="N143" s="15" t="str">
        <f aca="false">IF($M143="","",IF($M143&gt;=16,"Critique",IF($M143&gt;=9,"Élevé",IF($M143&gt;=5,"Moyen","Faible"))))</f>
        <v/>
      </c>
      <c r="O143" s="15" t="str">
        <f aca="false">IF($M143="","",IF($M143&gt;=9,"OUI",""))</f>
        <v/>
      </c>
      <c r="P143" s="16"/>
      <c r="Q143" s="15"/>
      <c r="R143" s="15"/>
      <c r="T143" s="19" t="n">
        <f aca="false">IFERROR(ROUND(VALUE(LEFT(F143,1))*VALUE(LEFT(G143,1))*IFERROR(VLOOKUP($K143,Listes!$E$2:$F$5,2,FALSE()),1),0),0)</f>
        <v>0</v>
      </c>
    </row>
    <row r="144" customFormat="false" ht="15" hidden="false" customHeight="false" outlineLevel="0" collapsed="false">
      <c r="A144" s="15"/>
      <c r="B144" s="16"/>
      <c r="C144" s="16"/>
      <c r="D144" s="17"/>
      <c r="E144" s="17"/>
      <c r="F144" s="15"/>
      <c r="G144" s="15"/>
      <c r="H144" s="18" t="str">
        <f aca="false">IFERROR(VALUE(LEFT(F144,1))*VALUE(LEFT(G144,1)),"")</f>
        <v/>
      </c>
      <c r="I144" s="15" t="str">
        <f aca="false">IF($H144="","",IF($H144&gt;=16,"Critique",IF($H144&gt;=9,"Élevé",IF($H144&gt;=5,"Moyen","Faible"))))</f>
        <v/>
      </c>
      <c r="J144" s="17"/>
      <c r="K144" s="15"/>
      <c r="L144" s="17"/>
      <c r="M144" s="18" t="str">
        <f aca="false">IF($H144="","",ROUND($H144*IFERROR(VLOOKUP($K144,Listes!$E$2:$F$5,2,FALSE()),1),0))</f>
        <v/>
      </c>
      <c r="N144" s="15" t="str">
        <f aca="false">IF($M144="","",IF($M144&gt;=16,"Critique",IF($M144&gt;=9,"Élevé",IF($M144&gt;=5,"Moyen","Faible"))))</f>
        <v/>
      </c>
      <c r="O144" s="15" t="str">
        <f aca="false">IF($M144="","",IF($M144&gt;=9,"OUI",""))</f>
        <v/>
      </c>
      <c r="P144" s="16"/>
      <c r="Q144" s="15"/>
      <c r="R144" s="15"/>
      <c r="T144" s="19" t="n">
        <f aca="false">IFERROR(ROUND(VALUE(LEFT(F144,1))*VALUE(LEFT(G144,1))*IFERROR(VLOOKUP($K144,Listes!$E$2:$F$5,2,FALSE()),1),0),0)</f>
        <v>0</v>
      </c>
    </row>
    <row r="145" customFormat="false" ht="15" hidden="false" customHeight="false" outlineLevel="0" collapsed="false">
      <c r="A145" s="15"/>
      <c r="B145" s="16"/>
      <c r="C145" s="16"/>
      <c r="D145" s="17"/>
      <c r="E145" s="17"/>
      <c r="F145" s="15"/>
      <c r="G145" s="15"/>
      <c r="H145" s="18" t="str">
        <f aca="false">IFERROR(VALUE(LEFT(F145,1))*VALUE(LEFT(G145,1)),"")</f>
        <v/>
      </c>
      <c r="I145" s="15" t="str">
        <f aca="false">IF($H145="","",IF($H145&gt;=16,"Critique",IF($H145&gt;=9,"Élevé",IF($H145&gt;=5,"Moyen","Faible"))))</f>
        <v/>
      </c>
      <c r="J145" s="17"/>
      <c r="K145" s="15"/>
      <c r="L145" s="17"/>
      <c r="M145" s="18" t="str">
        <f aca="false">IF($H145="","",ROUND($H145*IFERROR(VLOOKUP($K145,Listes!$E$2:$F$5,2,FALSE()),1),0))</f>
        <v/>
      </c>
      <c r="N145" s="15" t="str">
        <f aca="false">IF($M145="","",IF($M145&gt;=16,"Critique",IF($M145&gt;=9,"Élevé",IF($M145&gt;=5,"Moyen","Faible"))))</f>
        <v/>
      </c>
      <c r="O145" s="15" t="str">
        <f aca="false">IF($M145="","",IF($M145&gt;=9,"OUI",""))</f>
        <v/>
      </c>
      <c r="P145" s="16"/>
      <c r="Q145" s="15"/>
      <c r="R145" s="15"/>
      <c r="T145" s="19" t="n">
        <f aca="false">IFERROR(ROUND(VALUE(LEFT(F145,1))*VALUE(LEFT(G145,1))*IFERROR(VLOOKUP($K145,Listes!$E$2:$F$5,2,FALSE()),1),0),0)</f>
        <v>0</v>
      </c>
    </row>
    <row r="146" customFormat="false" ht="15" hidden="false" customHeight="false" outlineLevel="0" collapsed="false">
      <c r="A146" s="15"/>
      <c r="B146" s="16"/>
      <c r="C146" s="16"/>
      <c r="D146" s="17"/>
      <c r="E146" s="17"/>
      <c r="F146" s="15"/>
      <c r="G146" s="15"/>
      <c r="H146" s="18" t="str">
        <f aca="false">IFERROR(VALUE(LEFT(F146,1))*VALUE(LEFT(G146,1)),"")</f>
        <v/>
      </c>
      <c r="I146" s="15" t="str">
        <f aca="false">IF($H146="","",IF($H146&gt;=16,"Critique",IF($H146&gt;=9,"Élevé",IF($H146&gt;=5,"Moyen","Faible"))))</f>
        <v/>
      </c>
      <c r="J146" s="17"/>
      <c r="K146" s="15"/>
      <c r="L146" s="17"/>
      <c r="M146" s="18" t="str">
        <f aca="false">IF($H146="","",ROUND($H146*IFERROR(VLOOKUP($K146,Listes!$E$2:$F$5,2,FALSE()),1),0))</f>
        <v/>
      </c>
      <c r="N146" s="15" t="str">
        <f aca="false">IF($M146="","",IF($M146&gt;=16,"Critique",IF($M146&gt;=9,"Élevé",IF($M146&gt;=5,"Moyen","Faible"))))</f>
        <v/>
      </c>
      <c r="O146" s="15" t="str">
        <f aca="false">IF($M146="","",IF($M146&gt;=9,"OUI",""))</f>
        <v/>
      </c>
      <c r="P146" s="16"/>
      <c r="Q146" s="15"/>
      <c r="R146" s="15"/>
      <c r="T146" s="19" t="n">
        <f aca="false">IFERROR(ROUND(VALUE(LEFT(F146,1))*VALUE(LEFT(G146,1))*IFERROR(VLOOKUP($K146,Listes!$E$2:$F$5,2,FALSE()),1),0),0)</f>
        <v>0</v>
      </c>
    </row>
    <row r="147" customFormat="false" ht="15" hidden="false" customHeight="false" outlineLevel="0" collapsed="false">
      <c r="A147" s="15"/>
      <c r="B147" s="16"/>
      <c r="C147" s="16"/>
      <c r="D147" s="17"/>
      <c r="E147" s="17"/>
      <c r="F147" s="15"/>
      <c r="G147" s="15"/>
      <c r="H147" s="18" t="str">
        <f aca="false">IFERROR(VALUE(LEFT(F147,1))*VALUE(LEFT(G147,1)),"")</f>
        <v/>
      </c>
      <c r="I147" s="15" t="str">
        <f aca="false">IF($H147="","",IF($H147&gt;=16,"Critique",IF($H147&gt;=9,"Élevé",IF($H147&gt;=5,"Moyen","Faible"))))</f>
        <v/>
      </c>
      <c r="J147" s="17"/>
      <c r="K147" s="15"/>
      <c r="L147" s="17"/>
      <c r="M147" s="18" t="str">
        <f aca="false">IF($H147="","",ROUND($H147*IFERROR(VLOOKUP($K147,Listes!$E$2:$F$5,2,FALSE()),1),0))</f>
        <v/>
      </c>
      <c r="N147" s="15" t="str">
        <f aca="false">IF($M147="","",IF($M147&gt;=16,"Critique",IF($M147&gt;=9,"Élevé",IF($M147&gt;=5,"Moyen","Faible"))))</f>
        <v/>
      </c>
      <c r="O147" s="15" t="str">
        <f aca="false">IF($M147="","",IF($M147&gt;=9,"OUI",""))</f>
        <v/>
      </c>
      <c r="P147" s="16"/>
      <c r="Q147" s="15"/>
      <c r="R147" s="15"/>
      <c r="T147" s="19" t="n">
        <f aca="false">IFERROR(ROUND(VALUE(LEFT(F147,1))*VALUE(LEFT(G147,1))*IFERROR(VLOOKUP($K147,Listes!$E$2:$F$5,2,FALSE()),1),0),0)</f>
        <v>0</v>
      </c>
    </row>
    <row r="148" customFormat="false" ht="15" hidden="false" customHeight="false" outlineLevel="0" collapsed="false">
      <c r="A148" s="15"/>
      <c r="B148" s="16"/>
      <c r="C148" s="16"/>
      <c r="D148" s="17"/>
      <c r="E148" s="17"/>
      <c r="F148" s="15"/>
      <c r="G148" s="15"/>
      <c r="H148" s="18" t="str">
        <f aca="false">IFERROR(VALUE(LEFT(F148,1))*VALUE(LEFT(G148,1)),"")</f>
        <v/>
      </c>
      <c r="I148" s="15" t="str">
        <f aca="false">IF($H148="","",IF($H148&gt;=16,"Critique",IF($H148&gt;=9,"Élevé",IF($H148&gt;=5,"Moyen","Faible"))))</f>
        <v/>
      </c>
      <c r="J148" s="17"/>
      <c r="K148" s="15"/>
      <c r="L148" s="17"/>
      <c r="M148" s="18" t="str">
        <f aca="false">IF($H148="","",ROUND($H148*IFERROR(VLOOKUP($K148,Listes!$E$2:$F$5,2,FALSE()),1),0))</f>
        <v/>
      </c>
      <c r="N148" s="15" t="str">
        <f aca="false">IF($M148="","",IF($M148&gt;=16,"Critique",IF($M148&gt;=9,"Élevé",IF($M148&gt;=5,"Moyen","Faible"))))</f>
        <v/>
      </c>
      <c r="O148" s="15" t="str">
        <f aca="false">IF($M148="","",IF($M148&gt;=9,"OUI",""))</f>
        <v/>
      </c>
      <c r="P148" s="16"/>
      <c r="Q148" s="15"/>
      <c r="R148" s="15"/>
      <c r="T148" s="19" t="n">
        <f aca="false">IFERROR(ROUND(VALUE(LEFT(F148,1))*VALUE(LEFT(G148,1))*IFERROR(VLOOKUP($K148,Listes!$E$2:$F$5,2,FALSE()),1),0),0)</f>
        <v>0</v>
      </c>
    </row>
    <row r="149" customFormat="false" ht="15" hidden="false" customHeight="false" outlineLevel="0" collapsed="false">
      <c r="A149" s="15"/>
      <c r="B149" s="16"/>
      <c r="C149" s="16"/>
      <c r="D149" s="17"/>
      <c r="E149" s="17"/>
      <c r="F149" s="15"/>
      <c r="G149" s="15"/>
      <c r="H149" s="18" t="str">
        <f aca="false">IFERROR(VALUE(LEFT(F149,1))*VALUE(LEFT(G149,1)),"")</f>
        <v/>
      </c>
      <c r="I149" s="15" t="str">
        <f aca="false">IF($H149="","",IF($H149&gt;=16,"Critique",IF($H149&gt;=9,"Élevé",IF($H149&gt;=5,"Moyen","Faible"))))</f>
        <v/>
      </c>
      <c r="J149" s="17"/>
      <c r="K149" s="15"/>
      <c r="L149" s="17"/>
      <c r="M149" s="18" t="str">
        <f aca="false">IF($H149="","",ROUND($H149*IFERROR(VLOOKUP($K149,Listes!$E$2:$F$5,2,FALSE()),1),0))</f>
        <v/>
      </c>
      <c r="N149" s="15" t="str">
        <f aca="false">IF($M149="","",IF($M149&gt;=16,"Critique",IF($M149&gt;=9,"Élevé",IF($M149&gt;=5,"Moyen","Faible"))))</f>
        <v/>
      </c>
      <c r="O149" s="15" t="str">
        <f aca="false">IF($M149="","",IF($M149&gt;=9,"OUI",""))</f>
        <v/>
      </c>
      <c r="P149" s="16"/>
      <c r="Q149" s="15"/>
      <c r="R149" s="15"/>
      <c r="T149" s="19" t="n">
        <f aca="false">IFERROR(ROUND(VALUE(LEFT(F149,1))*VALUE(LEFT(G149,1))*IFERROR(VLOOKUP($K149,Listes!$E$2:$F$5,2,FALSE()),1),0),0)</f>
        <v>0</v>
      </c>
    </row>
    <row r="150" customFormat="false" ht="15" hidden="false" customHeight="false" outlineLevel="0" collapsed="false">
      <c r="A150" s="15"/>
      <c r="B150" s="16"/>
      <c r="C150" s="16"/>
      <c r="D150" s="17"/>
      <c r="E150" s="17"/>
      <c r="F150" s="15"/>
      <c r="G150" s="15"/>
      <c r="H150" s="18" t="str">
        <f aca="false">IFERROR(VALUE(LEFT(F150,1))*VALUE(LEFT(G150,1)),"")</f>
        <v/>
      </c>
      <c r="I150" s="15" t="str">
        <f aca="false">IF($H150="","",IF($H150&gt;=16,"Critique",IF($H150&gt;=9,"Élevé",IF($H150&gt;=5,"Moyen","Faible"))))</f>
        <v/>
      </c>
      <c r="J150" s="17"/>
      <c r="K150" s="15"/>
      <c r="L150" s="17"/>
      <c r="M150" s="18" t="str">
        <f aca="false">IF($H150="","",ROUND($H150*IFERROR(VLOOKUP($K150,Listes!$E$2:$F$5,2,FALSE()),1),0))</f>
        <v/>
      </c>
      <c r="N150" s="15" t="str">
        <f aca="false">IF($M150="","",IF($M150&gt;=16,"Critique",IF($M150&gt;=9,"Élevé",IF($M150&gt;=5,"Moyen","Faible"))))</f>
        <v/>
      </c>
      <c r="O150" s="15" t="str">
        <f aca="false">IF($M150="","",IF($M150&gt;=9,"OUI",""))</f>
        <v/>
      </c>
      <c r="P150" s="16"/>
      <c r="Q150" s="15"/>
      <c r="R150" s="15"/>
      <c r="T150" s="19" t="n">
        <f aca="false">IFERROR(ROUND(VALUE(LEFT(F150,1))*VALUE(LEFT(G150,1))*IFERROR(VLOOKUP($K150,Listes!$E$2:$F$5,2,FALSE()),1),0),0)</f>
        <v>0</v>
      </c>
    </row>
    <row r="151" customFormat="false" ht="15" hidden="false" customHeight="false" outlineLevel="0" collapsed="false">
      <c r="A151" s="15"/>
      <c r="B151" s="16"/>
      <c r="C151" s="16"/>
      <c r="D151" s="17"/>
      <c r="E151" s="17"/>
      <c r="F151" s="15"/>
      <c r="G151" s="15"/>
      <c r="H151" s="18" t="str">
        <f aca="false">IFERROR(VALUE(LEFT(F151,1))*VALUE(LEFT(G151,1)),"")</f>
        <v/>
      </c>
      <c r="I151" s="15" t="str">
        <f aca="false">IF($H151="","",IF($H151&gt;=16,"Critique",IF($H151&gt;=9,"Élevé",IF($H151&gt;=5,"Moyen","Faible"))))</f>
        <v/>
      </c>
      <c r="J151" s="17"/>
      <c r="K151" s="15"/>
      <c r="L151" s="17"/>
      <c r="M151" s="18" t="str">
        <f aca="false">IF($H151="","",ROUND($H151*IFERROR(VLOOKUP($K151,Listes!$E$2:$F$5,2,FALSE()),1),0))</f>
        <v/>
      </c>
      <c r="N151" s="15" t="str">
        <f aca="false">IF($M151="","",IF($M151&gt;=16,"Critique",IF($M151&gt;=9,"Élevé",IF($M151&gt;=5,"Moyen","Faible"))))</f>
        <v/>
      </c>
      <c r="O151" s="15" t="str">
        <f aca="false">IF($M151="","",IF($M151&gt;=9,"OUI",""))</f>
        <v/>
      </c>
      <c r="P151" s="16"/>
      <c r="Q151" s="15"/>
      <c r="R151" s="15"/>
      <c r="T151" s="19" t="n">
        <f aca="false">IFERROR(ROUND(VALUE(LEFT(F151,1))*VALUE(LEFT(G151,1))*IFERROR(VLOOKUP($K151,Listes!$E$2:$F$5,2,FALSE()),1),0),0)</f>
        <v>0</v>
      </c>
    </row>
    <row r="152" customFormat="false" ht="15" hidden="false" customHeight="false" outlineLevel="0" collapsed="false">
      <c r="A152" s="15"/>
      <c r="B152" s="16"/>
      <c r="C152" s="16"/>
      <c r="D152" s="17"/>
      <c r="E152" s="17"/>
      <c r="F152" s="15"/>
      <c r="G152" s="15"/>
      <c r="H152" s="18" t="str">
        <f aca="false">IFERROR(VALUE(LEFT(F152,1))*VALUE(LEFT(G152,1)),"")</f>
        <v/>
      </c>
      <c r="I152" s="15" t="str">
        <f aca="false">IF($H152="","",IF($H152&gt;=16,"Critique",IF($H152&gt;=9,"Élevé",IF($H152&gt;=5,"Moyen","Faible"))))</f>
        <v/>
      </c>
      <c r="J152" s="17"/>
      <c r="K152" s="15"/>
      <c r="L152" s="17"/>
      <c r="M152" s="18" t="str">
        <f aca="false">IF($H152="","",ROUND($H152*IFERROR(VLOOKUP($K152,Listes!$E$2:$F$5,2,FALSE()),1),0))</f>
        <v/>
      </c>
      <c r="N152" s="15" t="str">
        <f aca="false">IF($M152="","",IF($M152&gt;=16,"Critique",IF($M152&gt;=9,"Élevé",IF($M152&gt;=5,"Moyen","Faible"))))</f>
        <v/>
      </c>
      <c r="O152" s="15" t="str">
        <f aca="false">IF($M152="","",IF($M152&gt;=9,"OUI",""))</f>
        <v/>
      </c>
      <c r="P152" s="16"/>
      <c r="Q152" s="15"/>
      <c r="R152" s="15"/>
      <c r="T152" s="19" t="n">
        <f aca="false">IFERROR(ROUND(VALUE(LEFT(F152,1))*VALUE(LEFT(G152,1))*IFERROR(VLOOKUP($K152,Listes!$E$2:$F$5,2,FALSE()),1),0),0)</f>
        <v>0</v>
      </c>
    </row>
    <row r="153" customFormat="false" ht="15" hidden="false" customHeight="false" outlineLevel="0" collapsed="false">
      <c r="A153" s="15"/>
      <c r="B153" s="16"/>
      <c r="C153" s="16"/>
      <c r="D153" s="17"/>
      <c r="E153" s="17"/>
      <c r="F153" s="15"/>
      <c r="G153" s="15"/>
      <c r="H153" s="18" t="str">
        <f aca="false">IFERROR(VALUE(LEFT(F153,1))*VALUE(LEFT(G153,1)),"")</f>
        <v/>
      </c>
      <c r="I153" s="15" t="str">
        <f aca="false">IF($H153="","",IF($H153&gt;=16,"Critique",IF($H153&gt;=9,"Élevé",IF($H153&gt;=5,"Moyen","Faible"))))</f>
        <v/>
      </c>
      <c r="J153" s="17"/>
      <c r="K153" s="15"/>
      <c r="L153" s="17"/>
      <c r="M153" s="18" t="str">
        <f aca="false">IF($H153="","",ROUND($H153*IFERROR(VLOOKUP($K153,Listes!$E$2:$F$5,2,FALSE()),1),0))</f>
        <v/>
      </c>
      <c r="N153" s="15" t="str">
        <f aca="false">IF($M153="","",IF($M153&gt;=16,"Critique",IF($M153&gt;=9,"Élevé",IF($M153&gt;=5,"Moyen","Faible"))))</f>
        <v/>
      </c>
      <c r="O153" s="15" t="str">
        <f aca="false">IF($M153="","",IF($M153&gt;=9,"OUI",""))</f>
        <v/>
      </c>
      <c r="P153" s="16"/>
      <c r="Q153" s="15"/>
      <c r="R153" s="15"/>
      <c r="T153" s="19" t="n">
        <f aca="false">IFERROR(ROUND(VALUE(LEFT(F153,1))*VALUE(LEFT(G153,1))*IFERROR(VLOOKUP($K153,Listes!$E$2:$F$5,2,FALSE()),1),0),0)</f>
        <v>0</v>
      </c>
    </row>
    <row r="154" customFormat="false" ht="15" hidden="false" customHeight="false" outlineLevel="0" collapsed="false">
      <c r="A154" s="15"/>
      <c r="B154" s="16"/>
      <c r="C154" s="16"/>
      <c r="D154" s="17"/>
      <c r="E154" s="17"/>
      <c r="F154" s="15"/>
      <c r="G154" s="15"/>
      <c r="H154" s="18" t="str">
        <f aca="false">IFERROR(VALUE(LEFT(F154,1))*VALUE(LEFT(G154,1)),"")</f>
        <v/>
      </c>
      <c r="I154" s="15" t="str">
        <f aca="false">IF($H154="","",IF($H154&gt;=16,"Critique",IF($H154&gt;=9,"Élevé",IF($H154&gt;=5,"Moyen","Faible"))))</f>
        <v/>
      </c>
      <c r="J154" s="17"/>
      <c r="K154" s="15"/>
      <c r="L154" s="17"/>
      <c r="M154" s="18" t="str">
        <f aca="false">IF($H154="","",ROUND($H154*IFERROR(VLOOKUP($K154,Listes!$E$2:$F$5,2,FALSE()),1),0))</f>
        <v/>
      </c>
      <c r="N154" s="15" t="str">
        <f aca="false">IF($M154="","",IF($M154&gt;=16,"Critique",IF($M154&gt;=9,"Élevé",IF($M154&gt;=5,"Moyen","Faible"))))</f>
        <v/>
      </c>
      <c r="O154" s="15" t="str">
        <f aca="false">IF($M154="","",IF($M154&gt;=9,"OUI",""))</f>
        <v/>
      </c>
      <c r="P154" s="16"/>
      <c r="Q154" s="15"/>
      <c r="R154" s="15"/>
      <c r="T154" s="19" t="n">
        <f aca="false">IFERROR(ROUND(VALUE(LEFT(F154,1))*VALUE(LEFT(G154,1))*IFERROR(VLOOKUP($K154,Listes!$E$2:$F$5,2,FALSE()),1),0),0)</f>
        <v>0</v>
      </c>
    </row>
    <row r="155" customFormat="false" ht="15" hidden="false" customHeight="false" outlineLevel="0" collapsed="false">
      <c r="A155" s="15"/>
      <c r="B155" s="16"/>
      <c r="C155" s="16"/>
      <c r="D155" s="17"/>
      <c r="E155" s="17"/>
      <c r="F155" s="15"/>
      <c r="G155" s="15"/>
      <c r="H155" s="18" t="str">
        <f aca="false">IFERROR(VALUE(LEFT(F155,1))*VALUE(LEFT(G155,1)),"")</f>
        <v/>
      </c>
      <c r="I155" s="15" t="str">
        <f aca="false">IF($H155="","",IF($H155&gt;=16,"Critique",IF($H155&gt;=9,"Élevé",IF($H155&gt;=5,"Moyen","Faible"))))</f>
        <v/>
      </c>
      <c r="J155" s="17"/>
      <c r="K155" s="15"/>
      <c r="L155" s="17"/>
      <c r="M155" s="18" t="str">
        <f aca="false">IF($H155="","",ROUND($H155*IFERROR(VLOOKUP($K155,Listes!$E$2:$F$5,2,FALSE()),1),0))</f>
        <v/>
      </c>
      <c r="N155" s="15" t="str">
        <f aca="false">IF($M155="","",IF($M155&gt;=16,"Critique",IF($M155&gt;=9,"Élevé",IF($M155&gt;=5,"Moyen","Faible"))))</f>
        <v/>
      </c>
      <c r="O155" s="15" t="str">
        <f aca="false">IF($M155="","",IF($M155&gt;=9,"OUI",""))</f>
        <v/>
      </c>
      <c r="P155" s="16"/>
      <c r="Q155" s="15"/>
      <c r="R155" s="15"/>
      <c r="T155" s="19" t="n">
        <f aca="false">IFERROR(ROUND(VALUE(LEFT(F155,1))*VALUE(LEFT(G155,1))*IFERROR(VLOOKUP($K155,Listes!$E$2:$F$5,2,FALSE()),1),0),0)</f>
        <v>0</v>
      </c>
    </row>
    <row r="156" customFormat="false" ht="15" hidden="false" customHeight="false" outlineLevel="0" collapsed="false">
      <c r="A156" s="15"/>
      <c r="B156" s="16"/>
      <c r="C156" s="16"/>
      <c r="D156" s="17"/>
      <c r="E156" s="17"/>
      <c r="F156" s="15"/>
      <c r="G156" s="15"/>
      <c r="H156" s="18" t="str">
        <f aca="false">IFERROR(VALUE(LEFT(F156,1))*VALUE(LEFT(G156,1)),"")</f>
        <v/>
      </c>
      <c r="I156" s="15" t="str">
        <f aca="false">IF($H156="","",IF($H156&gt;=16,"Critique",IF($H156&gt;=9,"Élevé",IF($H156&gt;=5,"Moyen","Faible"))))</f>
        <v/>
      </c>
      <c r="J156" s="17"/>
      <c r="K156" s="15"/>
      <c r="L156" s="17"/>
      <c r="M156" s="18" t="str">
        <f aca="false">IF($H156="","",ROUND($H156*IFERROR(VLOOKUP($K156,Listes!$E$2:$F$5,2,FALSE()),1),0))</f>
        <v/>
      </c>
      <c r="N156" s="15" t="str">
        <f aca="false">IF($M156="","",IF($M156&gt;=16,"Critique",IF($M156&gt;=9,"Élevé",IF($M156&gt;=5,"Moyen","Faible"))))</f>
        <v/>
      </c>
      <c r="O156" s="15" t="str">
        <f aca="false">IF($M156="","",IF($M156&gt;=9,"OUI",""))</f>
        <v/>
      </c>
      <c r="P156" s="16"/>
      <c r="Q156" s="15"/>
      <c r="R156" s="15"/>
      <c r="T156" s="19" t="n">
        <f aca="false">IFERROR(ROUND(VALUE(LEFT(F156,1))*VALUE(LEFT(G156,1))*IFERROR(VLOOKUP($K156,Listes!$E$2:$F$5,2,FALSE()),1),0),0)</f>
        <v>0</v>
      </c>
    </row>
    <row r="157" customFormat="false" ht="15" hidden="false" customHeight="false" outlineLevel="0" collapsed="false">
      <c r="A157" s="15"/>
      <c r="B157" s="16"/>
      <c r="C157" s="16"/>
      <c r="D157" s="17"/>
      <c r="E157" s="17"/>
      <c r="F157" s="15"/>
      <c r="G157" s="15"/>
      <c r="H157" s="18" t="str">
        <f aca="false">IFERROR(VALUE(LEFT(F157,1))*VALUE(LEFT(G157,1)),"")</f>
        <v/>
      </c>
      <c r="I157" s="15" t="str">
        <f aca="false">IF($H157="","",IF($H157&gt;=16,"Critique",IF($H157&gt;=9,"Élevé",IF($H157&gt;=5,"Moyen","Faible"))))</f>
        <v/>
      </c>
      <c r="J157" s="17"/>
      <c r="K157" s="15"/>
      <c r="L157" s="17"/>
      <c r="M157" s="18" t="str">
        <f aca="false">IF($H157="","",ROUND($H157*IFERROR(VLOOKUP($K157,Listes!$E$2:$F$5,2,FALSE()),1),0))</f>
        <v/>
      </c>
      <c r="N157" s="15" t="str">
        <f aca="false">IF($M157="","",IF($M157&gt;=16,"Critique",IF($M157&gt;=9,"Élevé",IF($M157&gt;=5,"Moyen","Faible"))))</f>
        <v/>
      </c>
      <c r="O157" s="15" t="str">
        <f aca="false">IF($M157="","",IF($M157&gt;=9,"OUI",""))</f>
        <v/>
      </c>
      <c r="P157" s="16"/>
      <c r="Q157" s="15"/>
      <c r="R157" s="15"/>
      <c r="T157" s="19" t="n">
        <f aca="false">IFERROR(ROUND(VALUE(LEFT(F157,1))*VALUE(LEFT(G157,1))*IFERROR(VLOOKUP($K157,Listes!$E$2:$F$5,2,FALSE()),1),0),0)</f>
        <v>0</v>
      </c>
    </row>
    <row r="158" customFormat="false" ht="15" hidden="false" customHeight="false" outlineLevel="0" collapsed="false">
      <c r="A158" s="15"/>
      <c r="B158" s="16"/>
      <c r="C158" s="16"/>
      <c r="D158" s="17"/>
      <c r="E158" s="17"/>
      <c r="F158" s="15"/>
      <c r="G158" s="15"/>
      <c r="H158" s="18" t="str">
        <f aca="false">IFERROR(VALUE(LEFT(F158,1))*VALUE(LEFT(G158,1)),"")</f>
        <v/>
      </c>
      <c r="I158" s="15" t="str">
        <f aca="false">IF($H158="","",IF($H158&gt;=16,"Critique",IF($H158&gt;=9,"Élevé",IF($H158&gt;=5,"Moyen","Faible"))))</f>
        <v/>
      </c>
      <c r="J158" s="17"/>
      <c r="K158" s="15"/>
      <c r="L158" s="17"/>
      <c r="M158" s="18" t="str">
        <f aca="false">IF($H158="","",ROUND($H158*IFERROR(VLOOKUP($K158,Listes!$E$2:$F$5,2,FALSE()),1),0))</f>
        <v/>
      </c>
      <c r="N158" s="15" t="str">
        <f aca="false">IF($M158="","",IF($M158&gt;=16,"Critique",IF($M158&gt;=9,"Élevé",IF($M158&gt;=5,"Moyen","Faible"))))</f>
        <v/>
      </c>
      <c r="O158" s="15" t="str">
        <f aca="false">IF($M158="","",IF($M158&gt;=9,"OUI",""))</f>
        <v/>
      </c>
      <c r="P158" s="16"/>
      <c r="Q158" s="15"/>
      <c r="R158" s="15"/>
      <c r="T158" s="19" t="n">
        <f aca="false">IFERROR(ROUND(VALUE(LEFT(F158,1))*VALUE(LEFT(G158,1))*IFERROR(VLOOKUP($K158,Listes!$E$2:$F$5,2,FALSE()),1),0),0)</f>
        <v>0</v>
      </c>
    </row>
    <row r="159" customFormat="false" ht="15" hidden="false" customHeight="false" outlineLevel="0" collapsed="false">
      <c r="A159" s="15"/>
      <c r="B159" s="16"/>
      <c r="C159" s="16"/>
      <c r="D159" s="17"/>
      <c r="E159" s="17"/>
      <c r="F159" s="15"/>
      <c r="G159" s="15"/>
      <c r="H159" s="18" t="str">
        <f aca="false">IFERROR(VALUE(LEFT(F159,1))*VALUE(LEFT(G159,1)),"")</f>
        <v/>
      </c>
      <c r="I159" s="15" t="str">
        <f aca="false">IF($H159="","",IF($H159&gt;=16,"Critique",IF($H159&gt;=9,"Élevé",IF($H159&gt;=5,"Moyen","Faible"))))</f>
        <v/>
      </c>
      <c r="J159" s="17"/>
      <c r="K159" s="15"/>
      <c r="L159" s="17"/>
      <c r="M159" s="18" t="str">
        <f aca="false">IF($H159="","",ROUND($H159*IFERROR(VLOOKUP($K159,Listes!$E$2:$F$5,2,FALSE()),1),0))</f>
        <v/>
      </c>
      <c r="N159" s="15" t="str">
        <f aca="false">IF($M159="","",IF($M159&gt;=16,"Critique",IF($M159&gt;=9,"Élevé",IF($M159&gt;=5,"Moyen","Faible"))))</f>
        <v/>
      </c>
      <c r="O159" s="15" t="str">
        <f aca="false">IF($M159="","",IF($M159&gt;=9,"OUI",""))</f>
        <v/>
      </c>
      <c r="P159" s="16"/>
      <c r="Q159" s="15"/>
      <c r="R159" s="15"/>
      <c r="T159" s="19" t="n">
        <f aca="false">IFERROR(ROUND(VALUE(LEFT(F159,1))*VALUE(LEFT(G159,1))*IFERROR(VLOOKUP($K159,Listes!$E$2:$F$5,2,FALSE()),1),0),0)</f>
        <v>0</v>
      </c>
    </row>
    <row r="160" customFormat="false" ht="15" hidden="false" customHeight="false" outlineLevel="0" collapsed="false">
      <c r="A160" s="15"/>
      <c r="B160" s="16"/>
      <c r="C160" s="16"/>
      <c r="D160" s="17"/>
      <c r="E160" s="17"/>
      <c r="F160" s="15"/>
      <c r="G160" s="15"/>
      <c r="H160" s="18" t="str">
        <f aca="false">IFERROR(VALUE(LEFT(F160,1))*VALUE(LEFT(G160,1)),"")</f>
        <v/>
      </c>
      <c r="I160" s="15" t="str">
        <f aca="false">IF($H160="","",IF($H160&gt;=16,"Critique",IF($H160&gt;=9,"Élevé",IF($H160&gt;=5,"Moyen","Faible"))))</f>
        <v/>
      </c>
      <c r="J160" s="17"/>
      <c r="K160" s="15"/>
      <c r="L160" s="17"/>
      <c r="M160" s="18" t="str">
        <f aca="false">IF($H160="","",ROUND($H160*IFERROR(VLOOKUP($K160,Listes!$E$2:$F$5,2,FALSE()),1),0))</f>
        <v/>
      </c>
      <c r="N160" s="15" t="str">
        <f aca="false">IF($M160="","",IF($M160&gt;=16,"Critique",IF($M160&gt;=9,"Élevé",IF($M160&gt;=5,"Moyen","Faible"))))</f>
        <v/>
      </c>
      <c r="O160" s="15" t="str">
        <f aca="false">IF($M160="","",IF($M160&gt;=9,"OUI",""))</f>
        <v/>
      </c>
      <c r="P160" s="16"/>
      <c r="Q160" s="15"/>
      <c r="R160" s="15"/>
      <c r="T160" s="19" t="n">
        <f aca="false">IFERROR(ROUND(VALUE(LEFT(F160,1))*VALUE(LEFT(G160,1))*IFERROR(VLOOKUP($K160,Listes!$E$2:$F$5,2,FALSE()),1),0),0)</f>
        <v>0</v>
      </c>
    </row>
    <row r="161" customFormat="false" ht="15" hidden="false" customHeight="false" outlineLevel="0" collapsed="false">
      <c r="A161" s="15"/>
      <c r="B161" s="16"/>
      <c r="C161" s="16"/>
      <c r="D161" s="17"/>
      <c r="E161" s="17"/>
      <c r="F161" s="15"/>
      <c r="G161" s="15"/>
      <c r="H161" s="18" t="str">
        <f aca="false">IFERROR(VALUE(LEFT(F161,1))*VALUE(LEFT(G161,1)),"")</f>
        <v/>
      </c>
      <c r="I161" s="15" t="str">
        <f aca="false">IF($H161="","",IF($H161&gt;=16,"Critique",IF($H161&gt;=9,"Élevé",IF($H161&gt;=5,"Moyen","Faible"))))</f>
        <v/>
      </c>
      <c r="J161" s="17"/>
      <c r="K161" s="15"/>
      <c r="L161" s="17"/>
      <c r="M161" s="18" t="str">
        <f aca="false">IF($H161="","",ROUND($H161*IFERROR(VLOOKUP($K161,Listes!$E$2:$F$5,2,FALSE()),1),0))</f>
        <v/>
      </c>
      <c r="N161" s="15" t="str">
        <f aca="false">IF($M161="","",IF($M161&gt;=16,"Critique",IF($M161&gt;=9,"Élevé",IF($M161&gt;=5,"Moyen","Faible"))))</f>
        <v/>
      </c>
      <c r="O161" s="15" t="str">
        <f aca="false">IF($M161="","",IF($M161&gt;=9,"OUI",""))</f>
        <v/>
      </c>
      <c r="P161" s="16"/>
      <c r="Q161" s="15"/>
      <c r="R161" s="15"/>
      <c r="T161" s="19" t="n">
        <f aca="false">IFERROR(ROUND(VALUE(LEFT(F161,1))*VALUE(LEFT(G161,1))*IFERROR(VLOOKUP($K161,Listes!$E$2:$F$5,2,FALSE()),1),0),0)</f>
        <v>0</v>
      </c>
    </row>
    <row r="162" customFormat="false" ht="15" hidden="false" customHeight="false" outlineLevel="0" collapsed="false">
      <c r="A162" s="15"/>
      <c r="B162" s="16"/>
      <c r="C162" s="16"/>
      <c r="D162" s="17"/>
      <c r="E162" s="17"/>
      <c r="F162" s="15"/>
      <c r="G162" s="15"/>
      <c r="H162" s="18" t="str">
        <f aca="false">IFERROR(VALUE(LEFT(F162,1))*VALUE(LEFT(G162,1)),"")</f>
        <v/>
      </c>
      <c r="I162" s="15" t="str">
        <f aca="false">IF($H162="","",IF($H162&gt;=16,"Critique",IF($H162&gt;=9,"Élevé",IF($H162&gt;=5,"Moyen","Faible"))))</f>
        <v/>
      </c>
      <c r="J162" s="17"/>
      <c r="K162" s="15"/>
      <c r="L162" s="17"/>
      <c r="M162" s="18" t="str">
        <f aca="false">IF($H162="","",ROUND($H162*IFERROR(VLOOKUP($K162,Listes!$E$2:$F$5,2,FALSE()),1),0))</f>
        <v/>
      </c>
      <c r="N162" s="15" t="str">
        <f aca="false">IF($M162="","",IF($M162&gt;=16,"Critique",IF($M162&gt;=9,"Élevé",IF($M162&gt;=5,"Moyen","Faible"))))</f>
        <v/>
      </c>
      <c r="O162" s="15" t="str">
        <f aca="false">IF($M162="","",IF($M162&gt;=9,"OUI",""))</f>
        <v/>
      </c>
      <c r="P162" s="16"/>
      <c r="Q162" s="15"/>
      <c r="R162" s="15"/>
      <c r="T162" s="19" t="n">
        <f aca="false">IFERROR(ROUND(VALUE(LEFT(F162,1))*VALUE(LEFT(G162,1))*IFERROR(VLOOKUP($K162,Listes!$E$2:$F$5,2,FALSE()),1),0),0)</f>
        <v>0</v>
      </c>
    </row>
    <row r="163" customFormat="false" ht="15" hidden="false" customHeight="false" outlineLevel="0" collapsed="false">
      <c r="A163" s="15"/>
      <c r="B163" s="16"/>
      <c r="C163" s="16"/>
      <c r="D163" s="17"/>
      <c r="E163" s="17"/>
      <c r="F163" s="15"/>
      <c r="G163" s="15"/>
      <c r="H163" s="18" t="str">
        <f aca="false">IFERROR(VALUE(LEFT(F163,1))*VALUE(LEFT(G163,1)),"")</f>
        <v/>
      </c>
      <c r="I163" s="15" t="str">
        <f aca="false">IF($H163="","",IF($H163&gt;=16,"Critique",IF($H163&gt;=9,"Élevé",IF($H163&gt;=5,"Moyen","Faible"))))</f>
        <v/>
      </c>
      <c r="J163" s="17"/>
      <c r="K163" s="15"/>
      <c r="L163" s="17"/>
      <c r="M163" s="18" t="str">
        <f aca="false">IF($H163="","",ROUND($H163*IFERROR(VLOOKUP($K163,Listes!$E$2:$F$5,2,FALSE()),1),0))</f>
        <v/>
      </c>
      <c r="N163" s="15" t="str">
        <f aca="false">IF($M163="","",IF($M163&gt;=16,"Critique",IF($M163&gt;=9,"Élevé",IF($M163&gt;=5,"Moyen","Faible"))))</f>
        <v/>
      </c>
      <c r="O163" s="15" t="str">
        <f aca="false">IF($M163="","",IF($M163&gt;=9,"OUI",""))</f>
        <v/>
      </c>
      <c r="P163" s="16"/>
      <c r="Q163" s="15"/>
      <c r="R163" s="15"/>
      <c r="T163" s="19" t="n">
        <f aca="false">IFERROR(ROUND(VALUE(LEFT(F163,1))*VALUE(LEFT(G163,1))*IFERROR(VLOOKUP($K163,Listes!$E$2:$F$5,2,FALSE()),1),0),0)</f>
        <v>0</v>
      </c>
    </row>
    <row r="164" customFormat="false" ht="15" hidden="false" customHeight="false" outlineLevel="0" collapsed="false">
      <c r="A164" s="15"/>
      <c r="B164" s="16"/>
      <c r="C164" s="16"/>
      <c r="D164" s="17"/>
      <c r="E164" s="17"/>
      <c r="F164" s="15"/>
      <c r="G164" s="15"/>
      <c r="H164" s="18" t="str">
        <f aca="false">IFERROR(VALUE(LEFT(F164,1))*VALUE(LEFT(G164,1)),"")</f>
        <v/>
      </c>
      <c r="I164" s="15" t="str">
        <f aca="false">IF($H164="","",IF($H164&gt;=16,"Critique",IF($H164&gt;=9,"Élevé",IF($H164&gt;=5,"Moyen","Faible"))))</f>
        <v/>
      </c>
      <c r="J164" s="17"/>
      <c r="K164" s="15"/>
      <c r="L164" s="17"/>
      <c r="M164" s="18" t="str">
        <f aca="false">IF($H164="","",ROUND($H164*IFERROR(VLOOKUP($K164,Listes!$E$2:$F$5,2,FALSE()),1),0))</f>
        <v/>
      </c>
      <c r="N164" s="15" t="str">
        <f aca="false">IF($M164="","",IF($M164&gt;=16,"Critique",IF($M164&gt;=9,"Élevé",IF($M164&gt;=5,"Moyen","Faible"))))</f>
        <v/>
      </c>
      <c r="O164" s="15" t="str">
        <f aca="false">IF($M164="","",IF($M164&gt;=9,"OUI",""))</f>
        <v/>
      </c>
      <c r="P164" s="16"/>
      <c r="Q164" s="15"/>
      <c r="R164" s="15"/>
      <c r="T164" s="19" t="n">
        <f aca="false">IFERROR(ROUND(VALUE(LEFT(F164,1))*VALUE(LEFT(G164,1))*IFERROR(VLOOKUP($K164,Listes!$E$2:$F$5,2,FALSE()),1),0),0)</f>
        <v>0</v>
      </c>
    </row>
    <row r="165" customFormat="false" ht="15" hidden="false" customHeight="false" outlineLevel="0" collapsed="false">
      <c r="A165" s="15"/>
      <c r="B165" s="16"/>
      <c r="C165" s="16"/>
      <c r="D165" s="17"/>
      <c r="E165" s="17"/>
      <c r="F165" s="15"/>
      <c r="G165" s="15"/>
      <c r="H165" s="18" t="str">
        <f aca="false">IFERROR(VALUE(LEFT(F165,1))*VALUE(LEFT(G165,1)),"")</f>
        <v/>
      </c>
      <c r="I165" s="15" t="str">
        <f aca="false">IF($H165="","",IF($H165&gt;=16,"Critique",IF($H165&gt;=9,"Élevé",IF($H165&gt;=5,"Moyen","Faible"))))</f>
        <v/>
      </c>
      <c r="J165" s="17"/>
      <c r="K165" s="15"/>
      <c r="L165" s="17"/>
      <c r="M165" s="18" t="str">
        <f aca="false">IF($H165="","",ROUND($H165*IFERROR(VLOOKUP($K165,Listes!$E$2:$F$5,2,FALSE()),1),0))</f>
        <v/>
      </c>
      <c r="N165" s="15" t="str">
        <f aca="false">IF($M165="","",IF($M165&gt;=16,"Critique",IF($M165&gt;=9,"Élevé",IF($M165&gt;=5,"Moyen","Faible"))))</f>
        <v/>
      </c>
      <c r="O165" s="15" t="str">
        <f aca="false">IF($M165="","",IF($M165&gt;=9,"OUI",""))</f>
        <v/>
      </c>
      <c r="P165" s="16"/>
      <c r="Q165" s="15"/>
      <c r="R165" s="15"/>
      <c r="T165" s="19" t="n">
        <f aca="false">IFERROR(ROUND(VALUE(LEFT(F165,1))*VALUE(LEFT(G165,1))*IFERROR(VLOOKUP($K165,Listes!$E$2:$F$5,2,FALSE()),1),0),0)</f>
        <v>0</v>
      </c>
    </row>
    <row r="166" customFormat="false" ht="15" hidden="false" customHeight="false" outlineLevel="0" collapsed="false">
      <c r="A166" s="15"/>
      <c r="B166" s="16"/>
      <c r="C166" s="16"/>
      <c r="D166" s="17"/>
      <c r="E166" s="17"/>
      <c r="F166" s="15"/>
      <c r="G166" s="15"/>
      <c r="H166" s="18" t="str">
        <f aca="false">IFERROR(VALUE(LEFT(F166,1))*VALUE(LEFT(G166,1)),"")</f>
        <v/>
      </c>
      <c r="I166" s="15" t="str">
        <f aca="false">IF($H166="","",IF($H166&gt;=16,"Critique",IF($H166&gt;=9,"Élevé",IF($H166&gt;=5,"Moyen","Faible"))))</f>
        <v/>
      </c>
      <c r="J166" s="17"/>
      <c r="K166" s="15"/>
      <c r="L166" s="17"/>
      <c r="M166" s="18" t="str">
        <f aca="false">IF($H166="","",ROUND($H166*IFERROR(VLOOKUP($K166,Listes!$E$2:$F$5,2,FALSE()),1),0))</f>
        <v/>
      </c>
      <c r="N166" s="15" t="str">
        <f aca="false">IF($M166="","",IF($M166&gt;=16,"Critique",IF($M166&gt;=9,"Élevé",IF($M166&gt;=5,"Moyen","Faible"))))</f>
        <v/>
      </c>
      <c r="O166" s="15" t="str">
        <f aca="false">IF($M166="","",IF($M166&gt;=9,"OUI",""))</f>
        <v/>
      </c>
      <c r="P166" s="16"/>
      <c r="Q166" s="15"/>
      <c r="R166" s="15"/>
      <c r="T166" s="19" t="n">
        <f aca="false">IFERROR(ROUND(VALUE(LEFT(F166,1))*VALUE(LEFT(G166,1))*IFERROR(VLOOKUP($K166,Listes!$E$2:$F$5,2,FALSE()),1),0),0)</f>
        <v>0</v>
      </c>
    </row>
    <row r="167" customFormat="false" ht="15" hidden="false" customHeight="false" outlineLevel="0" collapsed="false">
      <c r="A167" s="15"/>
      <c r="B167" s="16"/>
      <c r="C167" s="16"/>
      <c r="D167" s="17"/>
      <c r="E167" s="17"/>
      <c r="F167" s="15"/>
      <c r="G167" s="15"/>
      <c r="H167" s="18" t="str">
        <f aca="false">IFERROR(VALUE(LEFT(F167,1))*VALUE(LEFT(G167,1)),"")</f>
        <v/>
      </c>
      <c r="I167" s="15" t="str">
        <f aca="false">IF($H167="","",IF($H167&gt;=16,"Critique",IF($H167&gt;=9,"Élevé",IF($H167&gt;=5,"Moyen","Faible"))))</f>
        <v/>
      </c>
      <c r="J167" s="17"/>
      <c r="K167" s="15"/>
      <c r="L167" s="17"/>
      <c r="M167" s="18" t="str">
        <f aca="false">IF($H167="","",ROUND($H167*IFERROR(VLOOKUP($K167,Listes!$E$2:$F$5,2,FALSE()),1),0))</f>
        <v/>
      </c>
      <c r="N167" s="15" t="str">
        <f aca="false">IF($M167="","",IF($M167&gt;=16,"Critique",IF($M167&gt;=9,"Élevé",IF($M167&gt;=5,"Moyen","Faible"))))</f>
        <v/>
      </c>
      <c r="O167" s="15" t="str">
        <f aca="false">IF($M167="","",IF($M167&gt;=9,"OUI",""))</f>
        <v/>
      </c>
      <c r="P167" s="16"/>
      <c r="Q167" s="15"/>
      <c r="R167" s="15"/>
      <c r="T167" s="19" t="n">
        <f aca="false">IFERROR(ROUND(VALUE(LEFT(F167,1))*VALUE(LEFT(G167,1))*IFERROR(VLOOKUP($K167,Listes!$E$2:$F$5,2,FALSE()),1),0),0)</f>
        <v>0</v>
      </c>
    </row>
    <row r="168" customFormat="false" ht="15" hidden="false" customHeight="false" outlineLevel="0" collapsed="false">
      <c r="A168" s="15"/>
      <c r="B168" s="16"/>
      <c r="C168" s="16"/>
      <c r="D168" s="17"/>
      <c r="E168" s="17"/>
      <c r="F168" s="15"/>
      <c r="G168" s="15"/>
      <c r="H168" s="18" t="str">
        <f aca="false">IFERROR(VALUE(LEFT(F168,1))*VALUE(LEFT(G168,1)),"")</f>
        <v/>
      </c>
      <c r="I168" s="15" t="str">
        <f aca="false">IF($H168="","",IF($H168&gt;=16,"Critique",IF($H168&gt;=9,"Élevé",IF($H168&gt;=5,"Moyen","Faible"))))</f>
        <v/>
      </c>
      <c r="J168" s="17"/>
      <c r="K168" s="15"/>
      <c r="L168" s="17"/>
      <c r="M168" s="18" t="str">
        <f aca="false">IF($H168="","",ROUND($H168*IFERROR(VLOOKUP($K168,Listes!$E$2:$F$5,2,FALSE()),1),0))</f>
        <v/>
      </c>
      <c r="N168" s="15" t="str">
        <f aca="false">IF($M168="","",IF($M168&gt;=16,"Critique",IF($M168&gt;=9,"Élevé",IF($M168&gt;=5,"Moyen","Faible"))))</f>
        <v/>
      </c>
      <c r="O168" s="15" t="str">
        <f aca="false">IF($M168="","",IF($M168&gt;=9,"OUI",""))</f>
        <v/>
      </c>
      <c r="P168" s="16"/>
      <c r="Q168" s="15"/>
      <c r="R168" s="15"/>
      <c r="T168" s="19" t="n">
        <f aca="false">IFERROR(ROUND(VALUE(LEFT(F168,1))*VALUE(LEFT(G168,1))*IFERROR(VLOOKUP($K168,Listes!$E$2:$F$5,2,FALSE()),1),0),0)</f>
        <v>0</v>
      </c>
    </row>
    <row r="169" customFormat="false" ht="15" hidden="false" customHeight="false" outlineLevel="0" collapsed="false">
      <c r="A169" s="15"/>
      <c r="B169" s="16"/>
      <c r="C169" s="16"/>
      <c r="D169" s="17"/>
      <c r="E169" s="17"/>
      <c r="F169" s="15"/>
      <c r="G169" s="15"/>
      <c r="H169" s="18" t="str">
        <f aca="false">IFERROR(VALUE(LEFT(F169,1))*VALUE(LEFT(G169,1)),"")</f>
        <v/>
      </c>
      <c r="I169" s="15" t="str">
        <f aca="false">IF($H169="","",IF($H169&gt;=16,"Critique",IF($H169&gt;=9,"Élevé",IF($H169&gt;=5,"Moyen","Faible"))))</f>
        <v/>
      </c>
      <c r="J169" s="17"/>
      <c r="K169" s="15"/>
      <c r="L169" s="17"/>
      <c r="M169" s="18" t="str">
        <f aca="false">IF($H169="","",ROUND($H169*IFERROR(VLOOKUP($K169,Listes!$E$2:$F$5,2,FALSE()),1),0))</f>
        <v/>
      </c>
      <c r="N169" s="15" t="str">
        <f aca="false">IF($M169="","",IF($M169&gt;=16,"Critique",IF($M169&gt;=9,"Élevé",IF($M169&gt;=5,"Moyen","Faible"))))</f>
        <v/>
      </c>
      <c r="O169" s="15" t="str">
        <f aca="false">IF($M169="","",IF($M169&gt;=9,"OUI",""))</f>
        <v/>
      </c>
      <c r="P169" s="16"/>
      <c r="Q169" s="15"/>
      <c r="R169" s="15"/>
      <c r="T169" s="19" t="n">
        <f aca="false">IFERROR(ROUND(VALUE(LEFT(F169,1))*VALUE(LEFT(G169,1))*IFERROR(VLOOKUP($K169,Listes!$E$2:$F$5,2,FALSE()),1),0),0)</f>
        <v>0</v>
      </c>
    </row>
    <row r="170" customFormat="false" ht="15" hidden="false" customHeight="false" outlineLevel="0" collapsed="false">
      <c r="A170" s="15"/>
      <c r="B170" s="16"/>
      <c r="C170" s="16"/>
      <c r="D170" s="17"/>
      <c r="E170" s="17"/>
      <c r="F170" s="15"/>
      <c r="G170" s="15"/>
      <c r="H170" s="18" t="str">
        <f aca="false">IFERROR(VALUE(LEFT(F170,1))*VALUE(LEFT(G170,1)),"")</f>
        <v/>
      </c>
      <c r="I170" s="15" t="str">
        <f aca="false">IF($H170="","",IF($H170&gt;=16,"Critique",IF($H170&gt;=9,"Élevé",IF($H170&gt;=5,"Moyen","Faible"))))</f>
        <v/>
      </c>
      <c r="J170" s="17"/>
      <c r="K170" s="15"/>
      <c r="L170" s="17"/>
      <c r="M170" s="18" t="str">
        <f aca="false">IF($H170="","",ROUND($H170*IFERROR(VLOOKUP($K170,Listes!$E$2:$F$5,2,FALSE()),1),0))</f>
        <v/>
      </c>
      <c r="N170" s="15" t="str">
        <f aca="false">IF($M170="","",IF($M170&gt;=16,"Critique",IF($M170&gt;=9,"Élevé",IF($M170&gt;=5,"Moyen","Faible"))))</f>
        <v/>
      </c>
      <c r="O170" s="15" t="str">
        <f aca="false">IF($M170="","",IF($M170&gt;=9,"OUI",""))</f>
        <v/>
      </c>
      <c r="P170" s="16"/>
      <c r="Q170" s="15"/>
      <c r="R170" s="15"/>
      <c r="T170" s="19" t="n">
        <f aca="false">IFERROR(ROUND(VALUE(LEFT(F170,1))*VALUE(LEFT(G170,1))*IFERROR(VLOOKUP($K170,Listes!$E$2:$F$5,2,FALSE()),1),0),0)</f>
        <v>0</v>
      </c>
    </row>
    <row r="171" customFormat="false" ht="15" hidden="false" customHeight="false" outlineLevel="0" collapsed="false">
      <c r="A171" s="15"/>
      <c r="B171" s="16"/>
      <c r="C171" s="16"/>
      <c r="D171" s="17"/>
      <c r="E171" s="17"/>
      <c r="F171" s="15"/>
      <c r="G171" s="15"/>
      <c r="H171" s="18" t="str">
        <f aca="false">IFERROR(VALUE(LEFT(F171,1))*VALUE(LEFT(G171,1)),"")</f>
        <v/>
      </c>
      <c r="I171" s="15" t="str">
        <f aca="false">IF($H171="","",IF($H171&gt;=16,"Critique",IF($H171&gt;=9,"Élevé",IF($H171&gt;=5,"Moyen","Faible"))))</f>
        <v/>
      </c>
      <c r="J171" s="17"/>
      <c r="K171" s="15"/>
      <c r="L171" s="17"/>
      <c r="M171" s="18" t="str">
        <f aca="false">IF($H171="","",ROUND($H171*IFERROR(VLOOKUP($K171,Listes!$E$2:$F$5,2,FALSE()),1),0))</f>
        <v/>
      </c>
      <c r="N171" s="15" t="str">
        <f aca="false">IF($M171="","",IF($M171&gt;=16,"Critique",IF($M171&gt;=9,"Élevé",IF($M171&gt;=5,"Moyen","Faible"))))</f>
        <v/>
      </c>
      <c r="O171" s="15" t="str">
        <f aca="false">IF($M171="","",IF($M171&gt;=9,"OUI",""))</f>
        <v/>
      </c>
      <c r="P171" s="16"/>
      <c r="Q171" s="15"/>
      <c r="R171" s="15"/>
      <c r="T171" s="19" t="n">
        <f aca="false">IFERROR(ROUND(VALUE(LEFT(F171,1))*VALUE(LEFT(G171,1))*IFERROR(VLOOKUP($K171,Listes!$E$2:$F$5,2,FALSE()),1),0),0)</f>
        <v>0</v>
      </c>
    </row>
    <row r="172" customFormat="false" ht="15" hidden="false" customHeight="false" outlineLevel="0" collapsed="false">
      <c r="A172" s="15"/>
      <c r="B172" s="16"/>
      <c r="C172" s="16"/>
      <c r="D172" s="17"/>
      <c r="E172" s="17"/>
      <c r="F172" s="15"/>
      <c r="G172" s="15"/>
      <c r="H172" s="18" t="str">
        <f aca="false">IFERROR(VALUE(LEFT(F172,1))*VALUE(LEFT(G172,1)),"")</f>
        <v/>
      </c>
      <c r="I172" s="15" t="str">
        <f aca="false">IF($H172="","",IF($H172&gt;=16,"Critique",IF($H172&gt;=9,"Élevé",IF($H172&gt;=5,"Moyen","Faible"))))</f>
        <v/>
      </c>
      <c r="J172" s="17"/>
      <c r="K172" s="15"/>
      <c r="L172" s="17"/>
      <c r="M172" s="18" t="str">
        <f aca="false">IF($H172="","",ROUND($H172*IFERROR(VLOOKUP($K172,Listes!$E$2:$F$5,2,FALSE()),1),0))</f>
        <v/>
      </c>
      <c r="N172" s="15" t="str">
        <f aca="false">IF($M172="","",IF($M172&gt;=16,"Critique",IF($M172&gt;=9,"Élevé",IF($M172&gt;=5,"Moyen","Faible"))))</f>
        <v/>
      </c>
      <c r="O172" s="15" t="str">
        <f aca="false">IF($M172="","",IF($M172&gt;=9,"OUI",""))</f>
        <v/>
      </c>
      <c r="P172" s="16"/>
      <c r="Q172" s="15"/>
      <c r="R172" s="15"/>
      <c r="T172" s="19" t="n">
        <f aca="false">IFERROR(ROUND(VALUE(LEFT(F172,1))*VALUE(LEFT(G172,1))*IFERROR(VLOOKUP($K172,Listes!$E$2:$F$5,2,FALSE()),1),0),0)</f>
        <v>0</v>
      </c>
    </row>
    <row r="173" customFormat="false" ht="15" hidden="false" customHeight="false" outlineLevel="0" collapsed="false">
      <c r="A173" s="15"/>
      <c r="B173" s="16"/>
      <c r="C173" s="16"/>
      <c r="D173" s="17"/>
      <c r="E173" s="17"/>
      <c r="F173" s="15"/>
      <c r="G173" s="15"/>
      <c r="H173" s="18" t="str">
        <f aca="false">IFERROR(VALUE(LEFT(F173,1))*VALUE(LEFT(G173,1)),"")</f>
        <v/>
      </c>
      <c r="I173" s="15" t="str">
        <f aca="false">IF($H173="","",IF($H173&gt;=16,"Critique",IF($H173&gt;=9,"Élevé",IF($H173&gt;=5,"Moyen","Faible"))))</f>
        <v/>
      </c>
      <c r="J173" s="17"/>
      <c r="K173" s="15"/>
      <c r="L173" s="17"/>
      <c r="M173" s="18" t="str">
        <f aca="false">IF($H173="","",ROUND($H173*IFERROR(VLOOKUP($K173,Listes!$E$2:$F$5,2,FALSE()),1),0))</f>
        <v/>
      </c>
      <c r="N173" s="15" t="str">
        <f aca="false">IF($M173="","",IF($M173&gt;=16,"Critique",IF($M173&gt;=9,"Élevé",IF($M173&gt;=5,"Moyen","Faible"))))</f>
        <v/>
      </c>
      <c r="O173" s="15" t="str">
        <f aca="false">IF($M173="","",IF($M173&gt;=9,"OUI",""))</f>
        <v/>
      </c>
      <c r="P173" s="16"/>
      <c r="Q173" s="15"/>
      <c r="R173" s="15"/>
      <c r="T173" s="19" t="n">
        <f aca="false">IFERROR(ROUND(VALUE(LEFT(F173,1))*VALUE(LEFT(G173,1))*IFERROR(VLOOKUP($K173,Listes!$E$2:$F$5,2,FALSE()),1),0),0)</f>
        <v>0</v>
      </c>
    </row>
    <row r="174" customFormat="false" ht="15" hidden="false" customHeight="false" outlineLevel="0" collapsed="false">
      <c r="A174" s="15"/>
      <c r="B174" s="16"/>
      <c r="C174" s="16"/>
      <c r="D174" s="17"/>
      <c r="E174" s="17"/>
      <c r="F174" s="15"/>
      <c r="G174" s="15"/>
      <c r="H174" s="18" t="str">
        <f aca="false">IFERROR(VALUE(LEFT(F174,1))*VALUE(LEFT(G174,1)),"")</f>
        <v/>
      </c>
      <c r="I174" s="15" t="str">
        <f aca="false">IF($H174="","",IF($H174&gt;=16,"Critique",IF($H174&gt;=9,"Élevé",IF($H174&gt;=5,"Moyen","Faible"))))</f>
        <v/>
      </c>
      <c r="J174" s="17"/>
      <c r="K174" s="15"/>
      <c r="L174" s="17"/>
      <c r="M174" s="18" t="str">
        <f aca="false">IF($H174="","",ROUND($H174*IFERROR(VLOOKUP($K174,Listes!$E$2:$F$5,2,FALSE()),1),0))</f>
        <v/>
      </c>
      <c r="N174" s="15" t="str">
        <f aca="false">IF($M174="","",IF($M174&gt;=16,"Critique",IF($M174&gt;=9,"Élevé",IF($M174&gt;=5,"Moyen","Faible"))))</f>
        <v/>
      </c>
      <c r="O174" s="15" t="str">
        <f aca="false">IF($M174="","",IF($M174&gt;=9,"OUI",""))</f>
        <v/>
      </c>
      <c r="P174" s="16"/>
      <c r="Q174" s="15"/>
      <c r="R174" s="15"/>
      <c r="T174" s="19" t="n">
        <f aca="false">IFERROR(ROUND(VALUE(LEFT(F174,1))*VALUE(LEFT(G174,1))*IFERROR(VLOOKUP($K174,Listes!$E$2:$F$5,2,FALSE()),1),0),0)</f>
        <v>0</v>
      </c>
    </row>
    <row r="175" customFormat="false" ht="15" hidden="false" customHeight="false" outlineLevel="0" collapsed="false">
      <c r="A175" s="15"/>
      <c r="B175" s="16"/>
      <c r="C175" s="16"/>
      <c r="D175" s="17"/>
      <c r="E175" s="17"/>
      <c r="F175" s="15"/>
      <c r="G175" s="15"/>
      <c r="H175" s="18" t="str">
        <f aca="false">IFERROR(VALUE(LEFT(F175,1))*VALUE(LEFT(G175,1)),"")</f>
        <v/>
      </c>
      <c r="I175" s="15" t="str">
        <f aca="false">IF($H175="","",IF($H175&gt;=16,"Critique",IF($H175&gt;=9,"Élevé",IF($H175&gt;=5,"Moyen","Faible"))))</f>
        <v/>
      </c>
      <c r="J175" s="17"/>
      <c r="K175" s="15"/>
      <c r="L175" s="17"/>
      <c r="M175" s="18" t="str">
        <f aca="false">IF($H175="","",ROUND($H175*IFERROR(VLOOKUP($K175,Listes!$E$2:$F$5,2,FALSE()),1),0))</f>
        <v/>
      </c>
      <c r="N175" s="15" t="str">
        <f aca="false">IF($M175="","",IF($M175&gt;=16,"Critique",IF($M175&gt;=9,"Élevé",IF($M175&gt;=5,"Moyen","Faible"))))</f>
        <v/>
      </c>
      <c r="O175" s="15" t="str">
        <f aca="false">IF($M175="","",IF($M175&gt;=9,"OUI",""))</f>
        <v/>
      </c>
      <c r="P175" s="16"/>
      <c r="Q175" s="15"/>
      <c r="R175" s="15"/>
      <c r="T175" s="19" t="n">
        <f aca="false">IFERROR(ROUND(VALUE(LEFT(F175,1))*VALUE(LEFT(G175,1))*IFERROR(VLOOKUP($K175,Listes!$E$2:$F$5,2,FALSE()),1),0),0)</f>
        <v>0</v>
      </c>
    </row>
    <row r="176" customFormat="false" ht="15" hidden="false" customHeight="false" outlineLevel="0" collapsed="false">
      <c r="A176" s="15"/>
      <c r="B176" s="16"/>
      <c r="C176" s="16"/>
      <c r="D176" s="17"/>
      <c r="E176" s="17"/>
      <c r="F176" s="15"/>
      <c r="G176" s="15"/>
      <c r="H176" s="18" t="str">
        <f aca="false">IFERROR(VALUE(LEFT(F176,1))*VALUE(LEFT(G176,1)),"")</f>
        <v/>
      </c>
      <c r="I176" s="15" t="str">
        <f aca="false">IF($H176="","",IF($H176&gt;=16,"Critique",IF($H176&gt;=9,"Élevé",IF($H176&gt;=5,"Moyen","Faible"))))</f>
        <v/>
      </c>
      <c r="J176" s="17"/>
      <c r="K176" s="15"/>
      <c r="L176" s="17"/>
      <c r="M176" s="18" t="str">
        <f aca="false">IF($H176="","",ROUND($H176*IFERROR(VLOOKUP($K176,Listes!$E$2:$F$5,2,FALSE()),1),0))</f>
        <v/>
      </c>
      <c r="N176" s="15" t="str">
        <f aca="false">IF($M176="","",IF($M176&gt;=16,"Critique",IF($M176&gt;=9,"Élevé",IF($M176&gt;=5,"Moyen","Faible"))))</f>
        <v/>
      </c>
      <c r="O176" s="15" t="str">
        <f aca="false">IF($M176="","",IF($M176&gt;=9,"OUI",""))</f>
        <v/>
      </c>
      <c r="P176" s="16"/>
      <c r="Q176" s="15"/>
      <c r="R176" s="15"/>
      <c r="T176" s="19" t="n">
        <f aca="false">IFERROR(ROUND(VALUE(LEFT(F176,1))*VALUE(LEFT(G176,1))*IFERROR(VLOOKUP($K176,Listes!$E$2:$F$5,2,FALSE()),1),0),0)</f>
        <v>0</v>
      </c>
    </row>
    <row r="177" customFormat="false" ht="15" hidden="false" customHeight="false" outlineLevel="0" collapsed="false">
      <c r="A177" s="15"/>
      <c r="B177" s="16"/>
      <c r="C177" s="16"/>
      <c r="D177" s="17"/>
      <c r="E177" s="17"/>
      <c r="F177" s="15"/>
      <c r="G177" s="15"/>
      <c r="H177" s="18" t="str">
        <f aca="false">IFERROR(VALUE(LEFT(F177,1))*VALUE(LEFT(G177,1)),"")</f>
        <v/>
      </c>
      <c r="I177" s="15" t="str">
        <f aca="false">IF($H177="","",IF($H177&gt;=16,"Critique",IF($H177&gt;=9,"Élevé",IF($H177&gt;=5,"Moyen","Faible"))))</f>
        <v/>
      </c>
      <c r="J177" s="17"/>
      <c r="K177" s="15"/>
      <c r="L177" s="17"/>
      <c r="M177" s="18" t="str">
        <f aca="false">IF($H177="","",ROUND($H177*IFERROR(VLOOKUP($K177,Listes!$E$2:$F$5,2,FALSE()),1),0))</f>
        <v/>
      </c>
      <c r="N177" s="15" t="str">
        <f aca="false">IF($M177="","",IF($M177&gt;=16,"Critique",IF($M177&gt;=9,"Élevé",IF($M177&gt;=5,"Moyen","Faible"))))</f>
        <v/>
      </c>
      <c r="O177" s="15" t="str">
        <f aca="false">IF($M177="","",IF($M177&gt;=9,"OUI",""))</f>
        <v/>
      </c>
      <c r="P177" s="16"/>
      <c r="Q177" s="15"/>
      <c r="R177" s="15"/>
      <c r="T177" s="19" t="n">
        <f aca="false">IFERROR(ROUND(VALUE(LEFT(F177,1))*VALUE(LEFT(G177,1))*IFERROR(VLOOKUP($K177,Listes!$E$2:$F$5,2,FALSE()),1),0),0)</f>
        <v>0</v>
      </c>
    </row>
    <row r="178" customFormat="false" ht="15" hidden="false" customHeight="false" outlineLevel="0" collapsed="false">
      <c r="A178" s="15"/>
      <c r="B178" s="16"/>
      <c r="C178" s="16"/>
      <c r="D178" s="17"/>
      <c r="E178" s="17"/>
      <c r="F178" s="15"/>
      <c r="G178" s="15"/>
      <c r="H178" s="18" t="str">
        <f aca="false">IFERROR(VALUE(LEFT(F178,1))*VALUE(LEFT(G178,1)),"")</f>
        <v/>
      </c>
      <c r="I178" s="15" t="str">
        <f aca="false">IF($H178="","",IF($H178&gt;=16,"Critique",IF($H178&gt;=9,"Élevé",IF($H178&gt;=5,"Moyen","Faible"))))</f>
        <v/>
      </c>
      <c r="J178" s="17"/>
      <c r="K178" s="15"/>
      <c r="L178" s="17"/>
      <c r="M178" s="18" t="str">
        <f aca="false">IF($H178="","",ROUND($H178*IFERROR(VLOOKUP($K178,Listes!$E$2:$F$5,2,FALSE()),1),0))</f>
        <v/>
      </c>
      <c r="N178" s="15" t="str">
        <f aca="false">IF($M178="","",IF($M178&gt;=16,"Critique",IF($M178&gt;=9,"Élevé",IF($M178&gt;=5,"Moyen","Faible"))))</f>
        <v/>
      </c>
      <c r="O178" s="15" t="str">
        <f aca="false">IF($M178="","",IF($M178&gt;=9,"OUI",""))</f>
        <v/>
      </c>
      <c r="P178" s="16"/>
      <c r="Q178" s="15"/>
      <c r="R178" s="15"/>
      <c r="T178" s="19" t="n">
        <f aca="false">IFERROR(ROUND(VALUE(LEFT(F178,1))*VALUE(LEFT(G178,1))*IFERROR(VLOOKUP($K178,Listes!$E$2:$F$5,2,FALSE()),1),0),0)</f>
        <v>0</v>
      </c>
    </row>
    <row r="179" customFormat="false" ht="15" hidden="false" customHeight="false" outlineLevel="0" collapsed="false">
      <c r="A179" s="15"/>
      <c r="B179" s="16"/>
      <c r="C179" s="16"/>
      <c r="D179" s="17"/>
      <c r="E179" s="17"/>
      <c r="F179" s="15"/>
      <c r="G179" s="15"/>
      <c r="H179" s="18" t="str">
        <f aca="false">IFERROR(VALUE(LEFT(F179,1))*VALUE(LEFT(G179,1)),"")</f>
        <v/>
      </c>
      <c r="I179" s="15" t="str">
        <f aca="false">IF($H179="","",IF($H179&gt;=16,"Critique",IF($H179&gt;=9,"Élevé",IF($H179&gt;=5,"Moyen","Faible"))))</f>
        <v/>
      </c>
      <c r="J179" s="17"/>
      <c r="K179" s="15"/>
      <c r="L179" s="17"/>
      <c r="M179" s="18" t="str">
        <f aca="false">IF($H179="","",ROUND($H179*IFERROR(VLOOKUP($K179,Listes!$E$2:$F$5,2,FALSE()),1),0))</f>
        <v/>
      </c>
      <c r="N179" s="15" t="str">
        <f aca="false">IF($M179="","",IF($M179&gt;=16,"Critique",IF($M179&gt;=9,"Élevé",IF($M179&gt;=5,"Moyen","Faible"))))</f>
        <v/>
      </c>
      <c r="O179" s="15" t="str">
        <f aca="false">IF($M179="","",IF($M179&gt;=9,"OUI",""))</f>
        <v/>
      </c>
      <c r="P179" s="16"/>
      <c r="Q179" s="15"/>
      <c r="R179" s="15"/>
      <c r="T179" s="19" t="n">
        <f aca="false">IFERROR(ROUND(VALUE(LEFT(F179,1))*VALUE(LEFT(G179,1))*IFERROR(VLOOKUP($K179,Listes!$E$2:$F$5,2,FALSE()),1),0),0)</f>
        <v>0</v>
      </c>
    </row>
    <row r="180" customFormat="false" ht="15" hidden="false" customHeight="false" outlineLevel="0" collapsed="false">
      <c r="A180" s="15"/>
      <c r="B180" s="16"/>
      <c r="C180" s="16"/>
      <c r="D180" s="17"/>
      <c r="E180" s="17"/>
      <c r="F180" s="15"/>
      <c r="G180" s="15"/>
      <c r="H180" s="18" t="str">
        <f aca="false">IFERROR(VALUE(LEFT(F180,1))*VALUE(LEFT(G180,1)),"")</f>
        <v/>
      </c>
      <c r="I180" s="15" t="str">
        <f aca="false">IF($H180="","",IF($H180&gt;=16,"Critique",IF($H180&gt;=9,"Élevé",IF($H180&gt;=5,"Moyen","Faible"))))</f>
        <v/>
      </c>
      <c r="J180" s="17"/>
      <c r="K180" s="15"/>
      <c r="L180" s="17"/>
      <c r="M180" s="18" t="str">
        <f aca="false">IF($H180="","",ROUND($H180*IFERROR(VLOOKUP($K180,Listes!$E$2:$F$5,2,FALSE()),1),0))</f>
        <v/>
      </c>
      <c r="N180" s="15" t="str">
        <f aca="false">IF($M180="","",IF($M180&gt;=16,"Critique",IF($M180&gt;=9,"Élevé",IF($M180&gt;=5,"Moyen","Faible"))))</f>
        <v/>
      </c>
      <c r="O180" s="15" t="str">
        <f aca="false">IF($M180="","",IF($M180&gt;=9,"OUI",""))</f>
        <v/>
      </c>
      <c r="P180" s="16"/>
      <c r="Q180" s="15"/>
      <c r="R180" s="15"/>
      <c r="T180" s="19" t="n">
        <f aca="false">IFERROR(ROUND(VALUE(LEFT(F180,1))*VALUE(LEFT(G180,1))*IFERROR(VLOOKUP($K180,Listes!$E$2:$F$5,2,FALSE()),1),0),0)</f>
        <v>0</v>
      </c>
    </row>
    <row r="181" customFormat="false" ht="15" hidden="false" customHeight="false" outlineLevel="0" collapsed="false">
      <c r="A181" s="15"/>
      <c r="B181" s="16"/>
      <c r="C181" s="16"/>
      <c r="D181" s="17"/>
      <c r="E181" s="17"/>
      <c r="F181" s="15"/>
      <c r="G181" s="15"/>
      <c r="H181" s="18" t="str">
        <f aca="false">IFERROR(VALUE(LEFT(F181,1))*VALUE(LEFT(G181,1)),"")</f>
        <v/>
      </c>
      <c r="I181" s="15" t="str">
        <f aca="false">IF($H181="","",IF($H181&gt;=16,"Critique",IF($H181&gt;=9,"Élevé",IF($H181&gt;=5,"Moyen","Faible"))))</f>
        <v/>
      </c>
      <c r="J181" s="17"/>
      <c r="K181" s="15"/>
      <c r="L181" s="17"/>
      <c r="M181" s="18" t="str">
        <f aca="false">IF($H181="","",ROUND($H181*IFERROR(VLOOKUP($K181,Listes!$E$2:$F$5,2,FALSE()),1),0))</f>
        <v/>
      </c>
      <c r="N181" s="15" t="str">
        <f aca="false">IF($M181="","",IF($M181&gt;=16,"Critique",IF($M181&gt;=9,"Élevé",IF($M181&gt;=5,"Moyen","Faible"))))</f>
        <v/>
      </c>
      <c r="O181" s="15" t="str">
        <f aca="false">IF($M181="","",IF($M181&gt;=9,"OUI",""))</f>
        <v/>
      </c>
      <c r="P181" s="16"/>
      <c r="Q181" s="15"/>
      <c r="R181" s="15"/>
      <c r="T181" s="19" t="n">
        <f aca="false">IFERROR(ROUND(VALUE(LEFT(F181,1))*VALUE(LEFT(G181,1))*IFERROR(VLOOKUP($K181,Listes!$E$2:$F$5,2,FALSE()),1),0),0)</f>
        <v>0</v>
      </c>
    </row>
    <row r="182" customFormat="false" ht="15" hidden="false" customHeight="false" outlineLevel="0" collapsed="false">
      <c r="A182" s="15"/>
      <c r="B182" s="16"/>
      <c r="C182" s="16"/>
      <c r="D182" s="17"/>
      <c r="E182" s="17"/>
      <c r="F182" s="15"/>
      <c r="G182" s="15"/>
      <c r="H182" s="18" t="str">
        <f aca="false">IFERROR(VALUE(LEFT(F182,1))*VALUE(LEFT(G182,1)),"")</f>
        <v/>
      </c>
      <c r="I182" s="15" t="str">
        <f aca="false">IF($H182="","",IF($H182&gt;=16,"Critique",IF($H182&gt;=9,"Élevé",IF($H182&gt;=5,"Moyen","Faible"))))</f>
        <v/>
      </c>
      <c r="J182" s="17"/>
      <c r="K182" s="15"/>
      <c r="L182" s="17"/>
      <c r="M182" s="18" t="str">
        <f aca="false">IF($H182="","",ROUND($H182*IFERROR(VLOOKUP($K182,Listes!$E$2:$F$5,2,FALSE()),1),0))</f>
        <v/>
      </c>
      <c r="N182" s="15" t="str">
        <f aca="false">IF($M182="","",IF($M182&gt;=16,"Critique",IF($M182&gt;=9,"Élevé",IF($M182&gt;=5,"Moyen","Faible"))))</f>
        <v/>
      </c>
      <c r="O182" s="15" t="str">
        <f aca="false">IF($M182="","",IF($M182&gt;=9,"OUI",""))</f>
        <v/>
      </c>
      <c r="P182" s="16"/>
      <c r="Q182" s="15"/>
      <c r="R182" s="15"/>
      <c r="T182" s="19" t="n">
        <f aca="false">IFERROR(ROUND(VALUE(LEFT(F182,1))*VALUE(LEFT(G182,1))*IFERROR(VLOOKUP($K182,Listes!$E$2:$F$5,2,FALSE()),1),0),0)</f>
        <v>0</v>
      </c>
    </row>
    <row r="183" customFormat="false" ht="15" hidden="false" customHeight="false" outlineLevel="0" collapsed="false">
      <c r="A183" s="15"/>
      <c r="B183" s="16"/>
      <c r="C183" s="16"/>
      <c r="D183" s="17"/>
      <c r="E183" s="17"/>
      <c r="F183" s="15"/>
      <c r="G183" s="15"/>
      <c r="H183" s="18" t="str">
        <f aca="false">IFERROR(VALUE(LEFT(F183,1))*VALUE(LEFT(G183,1)),"")</f>
        <v/>
      </c>
      <c r="I183" s="15" t="str">
        <f aca="false">IF($H183="","",IF($H183&gt;=16,"Critique",IF($H183&gt;=9,"Élevé",IF($H183&gt;=5,"Moyen","Faible"))))</f>
        <v/>
      </c>
      <c r="J183" s="17"/>
      <c r="K183" s="15"/>
      <c r="L183" s="17"/>
      <c r="M183" s="18" t="str">
        <f aca="false">IF($H183="","",ROUND($H183*IFERROR(VLOOKUP($K183,Listes!$E$2:$F$5,2,FALSE()),1),0))</f>
        <v/>
      </c>
      <c r="N183" s="15" t="str">
        <f aca="false">IF($M183="","",IF($M183&gt;=16,"Critique",IF($M183&gt;=9,"Élevé",IF($M183&gt;=5,"Moyen","Faible"))))</f>
        <v/>
      </c>
      <c r="O183" s="15" t="str">
        <f aca="false">IF($M183="","",IF($M183&gt;=9,"OUI",""))</f>
        <v/>
      </c>
      <c r="P183" s="16"/>
      <c r="Q183" s="15"/>
      <c r="R183" s="15"/>
      <c r="T183" s="19" t="n">
        <f aca="false">IFERROR(ROUND(VALUE(LEFT(F183,1))*VALUE(LEFT(G183,1))*IFERROR(VLOOKUP($K183,Listes!$E$2:$F$5,2,FALSE()),1),0),0)</f>
        <v>0</v>
      </c>
    </row>
    <row r="184" customFormat="false" ht="15" hidden="false" customHeight="false" outlineLevel="0" collapsed="false">
      <c r="A184" s="15"/>
      <c r="B184" s="16"/>
      <c r="C184" s="16"/>
      <c r="D184" s="17"/>
      <c r="E184" s="17"/>
      <c r="F184" s="15"/>
      <c r="G184" s="15"/>
      <c r="H184" s="18" t="str">
        <f aca="false">IFERROR(VALUE(LEFT(F184,1))*VALUE(LEFT(G184,1)),"")</f>
        <v/>
      </c>
      <c r="I184" s="15" t="str">
        <f aca="false">IF($H184="","",IF($H184&gt;=16,"Critique",IF($H184&gt;=9,"Élevé",IF($H184&gt;=5,"Moyen","Faible"))))</f>
        <v/>
      </c>
      <c r="J184" s="17"/>
      <c r="K184" s="15"/>
      <c r="L184" s="17"/>
      <c r="M184" s="18" t="str">
        <f aca="false">IF($H184="","",ROUND($H184*IFERROR(VLOOKUP($K184,Listes!$E$2:$F$5,2,FALSE()),1),0))</f>
        <v/>
      </c>
      <c r="N184" s="15" t="str">
        <f aca="false">IF($M184="","",IF($M184&gt;=16,"Critique",IF($M184&gt;=9,"Élevé",IF($M184&gt;=5,"Moyen","Faible"))))</f>
        <v/>
      </c>
      <c r="O184" s="15" t="str">
        <f aca="false">IF($M184="","",IF($M184&gt;=9,"OUI",""))</f>
        <v/>
      </c>
      <c r="P184" s="16"/>
      <c r="Q184" s="15"/>
      <c r="R184" s="15"/>
      <c r="T184" s="19" t="n">
        <f aca="false">IFERROR(ROUND(VALUE(LEFT(F184,1))*VALUE(LEFT(G184,1))*IFERROR(VLOOKUP($K184,Listes!$E$2:$F$5,2,FALSE()),1),0),0)</f>
        <v>0</v>
      </c>
    </row>
    <row r="185" customFormat="false" ht="15" hidden="false" customHeight="false" outlineLevel="0" collapsed="false">
      <c r="A185" s="15"/>
      <c r="B185" s="16"/>
      <c r="C185" s="16"/>
      <c r="D185" s="17"/>
      <c r="E185" s="17"/>
      <c r="F185" s="15"/>
      <c r="G185" s="15"/>
      <c r="H185" s="18" t="str">
        <f aca="false">IFERROR(VALUE(LEFT(F185,1))*VALUE(LEFT(G185,1)),"")</f>
        <v/>
      </c>
      <c r="I185" s="15" t="str">
        <f aca="false">IF($H185="","",IF($H185&gt;=16,"Critique",IF($H185&gt;=9,"Élevé",IF($H185&gt;=5,"Moyen","Faible"))))</f>
        <v/>
      </c>
      <c r="J185" s="17"/>
      <c r="K185" s="15"/>
      <c r="L185" s="17"/>
      <c r="M185" s="18" t="str">
        <f aca="false">IF($H185="","",ROUND($H185*IFERROR(VLOOKUP($K185,Listes!$E$2:$F$5,2,FALSE()),1),0))</f>
        <v/>
      </c>
      <c r="N185" s="15" t="str">
        <f aca="false">IF($M185="","",IF($M185&gt;=16,"Critique",IF($M185&gt;=9,"Élevé",IF($M185&gt;=5,"Moyen","Faible"))))</f>
        <v/>
      </c>
      <c r="O185" s="15" t="str">
        <f aca="false">IF($M185="","",IF($M185&gt;=9,"OUI",""))</f>
        <v/>
      </c>
      <c r="P185" s="16"/>
      <c r="Q185" s="15"/>
      <c r="R185" s="15"/>
      <c r="T185" s="19" t="n">
        <f aca="false">IFERROR(ROUND(VALUE(LEFT(F185,1))*VALUE(LEFT(G185,1))*IFERROR(VLOOKUP($K185,Listes!$E$2:$F$5,2,FALSE()),1),0),0)</f>
        <v>0</v>
      </c>
    </row>
    <row r="186" customFormat="false" ht="15" hidden="false" customHeight="false" outlineLevel="0" collapsed="false">
      <c r="A186" s="15"/>
      <c r="B186" s="16"/>
      <c r="C186" s="16"/>
      <c r="D186" s="17"/>
      <c r="E186" s="17"/>
      <c r="F186" s="15"/>
      <c r="G186" s="15"/>
      <c r="H186" s="18" t="str">
        <f aca="false">IFERROR(VALUE(LEFT(F186,1))*VALUE(LEFT(G186,1)),"")</f>
        <v/>
      </c>
      <c r="I186" s="15" t="str">
        <f aca="false">IF($H186="","",IF($H186&gt;=16,"Critique",IF($H186&gt;=9,"Élevé",IF($H186&gt;=5,"Moyen","Faible"))))</f>
        <v/>
      </c>
      <c r="J186" s="17"/>
      <c r="K186" s="15"/>
      <c r="L186" s="17"/>
      <c r="M186" s="18" t="str">
        <f aca="false">IF($H186="","",ROUND($H186*IFERROR(VLOOKUP($K186,Listes!$E$2:$F$5,2,FALSE()),1),0))</f>
        <v/>
      </c>
      <c r="N186" s="15" t="str">
        <f aca="false">IF($M186="","",IF($M186&gt;=16,"Critique",IF($M186&gt;=9,"Élevé",IF($M186&gt;=5,"Moyen","Faible"))))</f>
        <v/>
      </c>
      <c r="O186" s="15" t="str">
        <f aca="false">IF($M186="","",IF($M186&gt;=9,"OUI",""))</f>
        <v/>
      </c>
      <c r="P186" s="16"/>
      <c r="Q186" s="15"/>
      <c r="R186" s="15"/>
      <c r="T186" s="19" t="n">
        <f aca="false">IFERROR(ROUND(VALUE(LEFT(F186,1))*VALUE(LEFT(G186,1))*IFERROR(VLOOKUP($K186,Listes!$E$2:$F$5,2,FALSE()),1),0),0)</f>
        <v>0</v>
      </c>
    </row>
    <row r="187" customFormat="false" ht="15" hidden="false" customHeight="false" outlineLevel="0" collapsed="false">
      <c r="A187" s="15"/>
      <c r="B187" s="16"/>
      <c r="C187" s="16"/>
      <c r="D187" s="17"/>
      <c r="E187" s="17"/>
      <c r="F187" s="15"/>
      <c r="G187" s="15"/>
      <c r="H187" s="18" t="str">
        <f aca="false">IFERROR(VALUE(LEFT(F187,1))*VALUE(LEFT(G187,1)),"")</f>
        <v/>
      </c>
      <c r="I187" s="15" t="str">
        <f aca="false">IF($H187="","",IF($H187&gt;=16,"Critique",IF($H187&gt;=9,"Élevé",IF($H187&gt;=5,"Moyen","Faible"))))</f>
        <v/>
      </c>
      <c r="J187" s="17"/>
      <c r="K187" s="15"/>
      <c r="L187" s="17"/>
      <c r="M187" s="18" t="str">
        <f aca="false">IF($H187="","",ROUND($H187*IFERROR(VLOOKUP($K187,Listes!$E$2:$F$5,2,FALSE()),1),0))</f>
        <v/>
      </c>
      <c r="N187" s="15" t="str">
        <f aca="false">IF($M187="","",IF($M187&gt;=16,"Critique",IF($M187&gt;=9,"Élevé",IF($M187&gt;=5,"Moyen","Faible"))))</f>
        <v/>
      </c>
      <c r="O187" s="15" t="str">
        <f aca="false">IF($M187="","",IF($M187&gt;=9,"OUI",""))</f>
        <v/>
      </c>
      <c r="P187" s="16"/>
      <c r="Q187" s="15"/>
      <c r="R187" s="15"/>
      <c r="T187" s="19" t="n">
        <f aca="false">IFERROR(ROUND(VALUE(LEFT(F187,1))*VALUE(LEFT(G187,1))*IFERROR(VLOOKUP($K187,Listes!$E$2:$F$5,2,FALSE()),1),0),0)</f>
        <v>0</v>
      </c>
    </row>
    <row r="188" customFormat="false" ht="15" hidden="false" customHeight="false" outlineLevel="0" collapsed="false">
      <c r="A188" s="15"/>
      <c r="B188" s="16"/>
      <c r="C188" s="16"/>
      <c r="D188" s="17"/>
      <c r="E188" s="17"/>
      <c r="F188" s="15"/>
      <c r="G188" s="15"/>
      <c r="H188" s="18" t="str">
        <f aca="false">IFERROR(VALUE(LEFT(F188,1))*VALUE(LEFT(G188,1)),"")</f>
        <v/>
      </c>
      <c r="I188" s="15" t="str">
        <f aca="false">IF($H188="","",IF($H188&gt;=16,"Critique",IF($H188&gt;=9,"Élevé",IF($H188&gt;=5,"Moyen","Faible"))))</f>
        <v/>
      </c>
      <c r="J188" s="17"/>
      <c r="K188" s="15"/>
      <c r="L188" s="17"/>
      <c r="M188" s="18" t="str">
        <f aca="false">IF($H188="","",ROUND($H188*IFERROR(VLOOKUP($K188,Listes!$E$2:$F$5,2,FALSE()),1),0))</f>
        <v/>
      </c>
      <c r="N188" s="15" t="str">
        <f aca="false">IF($M188="","",IF($M188&gt;=16,"Critique",IF($M188&gt;=9,"Élevé",IF($M188&gt;=5,"Moyen","Faible"))))</f>
        <v/>
      </c>
      <c r="O188" s="15" t="str">
        <f aca="false">IF($M188="","",IF($M188&gt;=9,"OUI",""))</f>
        <v/>
      </c>
      <c r="P188" s="16"/>
      <c r="Q188" s="15"/>
      <c r="R188" s="15"/>
      <c r="T188" s="19" t="n">
        <f aca="false">IFERROR(ROUND(VALUE(LEFT(F188,1))*VALUE(LEFT(G188,1))*IFERROR(VLOOKUP($K188,Listes!$E$2:$F$5,2,FALSE()),1),0),0)</f>
        <v>0</v>
      </c>
    </row>
    <row r="189" customFormat="false" ht="15" hidden="false" customHeight="false" outlineLevel="0" collapsed="false">
      <c r="A189" s="15"/>
      <c r="B189" s="16"/>
      <c r="C189" s="16"/>
      <c r="D189" s="17"/>
      <c r="E189" s="17"/>
      <c r="F189" s="15"/>
      <c r="G189" s="15"/>
      <c r="H189" s="18" t="str">
        <f aca="false">IFERROR(VALUE(LEFT(F189,1))*VALUE(LEFT(G189,1)),"")</f>
        <v/>
      </c>
      <c r="I189" s="15" t="str">
        <f aca="false">IF($H189="","",IF($H189&gt;=16,"Critique",IF($H189&gt;=9,"Élevé",IF($H189&gt;=5,"Moyen","Faible"))))</f>
        <v/>
      </c>
      <c r="J189" s="17"/>
      <c r="K189" s="15"/>
      <c r="L189" s="17"/>
      <c r="M189" s="18" t="str">
        <f aca="false">IF($H189="","",ROUND($H189*IFERROR(VLOOKUP($K189,Listes!$E$2:$F$5,2,FALSE()),1),0))</f>
        <v/>
      </c>
      <c r="N189" s="15" t="str">
        <f aca="false">IF($M189="","",IF($M189&gt;=16,"Critique",IF($M189&gt;=9,"Élevé",IF($M189&gt;=5,"Moyen","Faible"))))</f>
        <v/>
      </c>
      <c r="O189" s="15" t="str">
        <f aca="false">IF($M189="","",IF($M189&gt;=9,"OUI",""))</f>
        <v/>
      </c>
      <c r="P189" s="16"/>
      <c r="Q189" s="15"/>
      <c r="R189" s="15"/>
      <c r="T189" s="19" t="n">
        <f aca="false">IFERROR(ROUND(VALUE(LEFT(F189,1))*VALUE(LEFT(G189,1))*IFERROR(VLOOKUP($K189,Listes!$E$2:$F$5,2,FALSE()),1),0),0)</f>
        <v>0</v>
      </c>
    </row>
    <row r="190" customFormat="false" ht="15" hidden="false" customHeight="false" outlineLevel="0" collapsed="false">
      <c r="A190" s="15"/>
      <c r="B190" s="16"/>
      <c r="C190" s="16"/>
      <c r="D190" s="17"/>
      <c r="E190" s="17"/>
      <c r="F190" s="15"/>
      <c r="G190" s="15"/>
      <c r="H190" s="18" t="str">
        <f aca="false">IFERROR(VALUE(LEFT(F190,1))*VALUE(LEFT(G190,1)),"")</f>
        <v/>
      </c>
      <c r="I190" s="15" t="str">
        <f aca="false">IF($H190="","",IF($H190&gt;=16,"Critique",IF($H190&gt;=9,"Élevé",IF($H190&gt;=5,"Moyen","Faible"))))</f>
        <v/>
      </c>
      <c r="J190" s="17"/>
      <c r="K190" s="15"/>
      <c r="L190" s="17"/>
      <c r="M190" s="18" t="str">
        <f aca="false">IF($H190="","",ROUND($H190*IFERROR(VLOOKUP($K190,Listes!$E$2:$F$5,2,FALSE()),1),0))</f>
        <v/>
      </c>
      <c r="N190" s="15" t="str">
        <f aca="false">IF($M190="","",IF($M190&gt;=16,"Critique",IF($M190&gt;=9,"Élevé",IF($M190&gt;=5,"Moyen","Faible"))))</f>
        <v/>
      </c>
      <c r="O190" s="15" t="str">
        <f aca="false">IF($M190="","",IF($M190&gt;=9,"OUI",""))</f>
        <v/>
      </c>
      <c r="P190" s="16"/>
      <c r="Q190" s="15"/>
      <c r="R190" s="15"/>
      <c r="T190" s="19" t="n">
        <f aca="false">IFERROR(ROUND(VALUE(LEFT(F190,1))*VALUE(LEFT(G190,1))*IFERROR(VLOOKUP($K190,Listes!$E$2:$F$5,2,FALSE()),1),0),0)</f>
        <v>0</v>
      </c>
    </row>
    <row r="191" customFormat="false" ht="15" hidden="false" customHeight="false" outlineLevel="0" collapsed="false">
      <c r="A191" s="15"/>
      <c r="B191" s="16"/>
      <c r="C191" s="16"/>
      <c r="D191" s="17"/>
      <c r="E191" s="17"/>
      <c r="F191" s="15"/>
      <c r="G191" s="15"/>
      <c r="H191" s="18" t="str">
        <f aca="false">IFERROR(VALUE(LEFT(F191,1))*VALUE(LEFT(G191,1)),"")</f>
        <v/>
      </c>
      <c r="I191" s="15" t="str">
        <f aca="false">IF($H191="","",IF($H191&gt;=16,"Critique",IF($H191&gt;=9,"Élevé",IF($H191&gt;=5,"Moyen","Faible"))))</f>
        <v/>
      </c>
      <c r="J191" s="17"/>
      <c r="K191" s="15"/>
      <c r="L191" s="17"/>
      <c r="M191" s="18" t="str">
        <f aca="false">IF($H191="","",ROUND($H191*IFERROR(VLOOKUP($K191,Listes!$E$2:$F$5,2,FALSE()),1),0))</f>
        <v/>
      </c>
      <c r="N191" s="15" t="str">
        <f aca="false">IF($M191="","",IF($M191&gt;=16,"Critique",IF($M191&gt;=9,"Élevé",IF($M191&gt;=5,"Moyen","Faible"))))</f>
        <v/>
      </c>
      <c r="O191" s="15" t="str">
        <f aca="false">IF($M191="","",IF($M191&gt;=9,"OUI",""))</f>
        <v/>
      </c>
      <c r="P191" s="16"/>
      <c r="Q191" s="15"/>
      <c r="R191" s="15"/>
      <c r="T191" s="19" t="n">
        <f aca="false">IFERROR(ROUND(VALUE(LEFT(F191,1))*VALUE(LEFT(G191,1))*IFERROR(VLOOKUP($K191,Listes!$E$2:$F$5,2,FALSE()),1),0),0)</f>
        <v>0</v>
      </c>
    </row>
    <row r="192" customFormat="false" ht="15" hidden="false" customHeight="false" outlineLevel="0" collapsed="false">
      <c r="A192" s="15"/>
      <c r="B192" s="16"/>
      <c r="C192" s="16"/>
      <c r="D192" s="17"/>
      <c r="E192" s="17"/>
      <c r="F192" s="15"/>
      <c r="G192" s="15"/>
      <c r="H192" s="18" t="str">
        <f aca="false">IFERROR(VALUE(LEFT(F192,1))*VALUE(LEFT(G192,1)),"")</f>
        <v/>
      </c>
      <c r="I192" s="15" t="str">
        <f aca="false">IF($H192="","",IF($H192&gt;=16,"Critique",IF($H192&gt;=9,"Élevé",IF($H192&gt;=5,"Moyen","Faible"))))</f>
        <v/>
      </c>
      <c r="J192" s="17"/>
      <c r="K192" s="15"/>
      <c r="L192" s="17"/>
      <c r="M192" s="18" t="str">
        <f aca="false">IF($H192="","",ROUND($H192*IFERROR(VLOOKUP($K192,Listes!$E$2:$F$5,2,FALSE()),1),0))</f>
        <v/>
      </c>
      <c r="N192" s="15" t="str">
        <f aca="false">IF($M192="","",IF($M192&gt;=16,"Critique",IF($M192&gt;=9,"Élevé",IF($M192&gt;=5,"Moyen","Faible"))))</f>
        <v/>
      </c>
      <c r="O192" s="15" t="str">
        <f aca="false">IF($M192="","",IF($M192&gt;=9,"OUI",""))</f>
        <v/>
      </c>
      <c r="P192" s="16"/>
      <c r="Q192" s="15"/>
      <c r="R192" s="15"/>
      <c r="T192" s="19" t="n">
        <f aca="false">IFERROR(ROUND(VALUE(LEFT(F192,1))*VALUE(LEFT(G192,1))*IFERROR(VLOOKUP($K192,Listes!$E$2:$F$5,2,FALSE()),1),0),0)</f>
        <v>0</v>
      </c>
    </row>
    <row r="193" customFormat="false" ht="15" hidden="false" customHeight="false" outlineLevel="0" collapsed="false">
      <c r="A193" s="15"/>
      <c r="B193" s="16"/>
      <c r="C193" s="16"/>
      <c r="D193" s="17"/>
      <c r="E193" s="17"/>
      <c r="F193" s="15"/>
      <c r="G193" s="15"/>
      <c r="H193" s="18" t="str">
        <f aca="false">IFERROR(VALUE(LEFT(F193,1))*VALUE(LEFT(G193,1)),"")</f>
        <v/>
      </c>
      <c r="I193" s="15" t="str">
        <f aca="false">IF($H193="","",IF($H193&gt;=16,"Critique",IF($H193&gt;=9,"Élevé",IF($H193&gt;=5,"Moyen","Faible"))))</f>
        <v/>
      </c>
      <c r="J193" s="17"/>
      <c r="K193" s="15"/>
      <c r="L193" s="17"/>
      <c r="M193" s="18" t="str">
        <f aca="false">IF($H193="","",ROUND($H193*IFERROR(VLOOKUP($K193,Listes!$E$2:$F$5,2,FALSE()),1),0))</f>
        <v/>
      </c>
      <c r="N193" s="15" t="str">
        <f aca="false">IF($M193="","",IF($M193&gt;=16,"Critique",IF($M193&gt;=9,"Élevé",IF($M193&gt;=5,"Moyen","Faible"))))</f>
        <v/>
      </c>
      <c r="O193" s="15" t="str">
        <f aca="false">IF($M193="","",IF($M193&gt;=9,"OUI",""))</f>
        <v/>
      </c>
      <c r="P193" s="16"/>
      <c r="Q193" s="15"/>
      <c r="R193" s="15"/>
      <c r="T193" s="19" t="n">
        <f aca="false">IFERROR(ROUND(VALUE(LEFT(F193,1))*VALUE(LEFT(G193,1))*IFERROR(VLOOKUP($K193,Listes!$E$2:$F$5,2,FALSE()),1),0),0)</f>
        <v>0</v>
      </c>
    </row>
    <row r="194" customFormat="false" ht="15" hidden="false" customHeight="false" outlineLevel="0" collapsed="false">
      <c r="A194" s="15"/>
      <c r="B194" s="16"/>
      <c r="C194" s="16"/>
      <c r="D194" s="17"/>
      <c r="E194" s="17"/>
      <c r="F194" s="15"/>
      <c r="G194" s="15"/>
      <c r="H194" s="18" t="str">
        <f aca="false">IFERROR(VALUE(LEFT(F194,1))*VALUE(LEFT(G194,1)),"")</f>
        <v/>
      </c>
      <c r="I194" s="15" t="str">
        <f aca="false">IF($H194="","",IF($H194&gt;=16,"Critique",IF($H194&gt;=9,"Élevé",IF($H194&gt;=5,"Moyen","Faible"))))</f>
        <v/>
      </c>
      <c r="J194" s="17"/>
      <c r="K194" s="15"/>
      <c r="L194" s="17"/>
      <c r="M194" s="18" t="str">
        <f aca="false">IF($H194="","",ROUND($H194*IFERROR(VLOOKUP($K194,Listes!$E$2:$F$5,2,FALSE()),1),0))</f>
        <v/>
      </c>
      <c r="N194" s="15" t="str">
        <f aca="false">IF($M194="","",IF($M194&gt;=16,"Critique",IF($M194&gt;=9,"Élevé",IF($M194&gt;=5,"Moyen","Faible"))))</f>
        <v/>
      </c>
      <c r="O194" s="15" t="str">
        <f aca="false">IF($M194="","",IF($M194&gt;=9,"OUI",""))</f>
        <v/>
      </c>
      <c r="P194" s="16"/>
      <c r="Q194" s="15"/>
      <c r="R194" s="15"/>
      <c r="T194" s="19" t="n">
        <f aca="false">IFERROR(ROUND(VALUE(LEFT(F194,1))*VALUE(LEFT(G194,1))*IFERROR(VLOOKUP($K194,Listes!$E$2:$F$5,2,FALSE()),1),0),0)</f>
        <v>0</v>
      </c>
    </row>
    <row r="195" customFormat="false" ht="15" hidden="false" customHeight="false" outlineLevel="0" collapsed="false">
      <c r="A195" s="15"/>
      <c r="B195" s="16"/>
      <c r="C195" s="16"/>
      <c r="D195" s="17"/>
      <c r="E195" s="17"/>
      <c r="F195" s="15"/>
      <c r="G195" s="15"/>
      <c r="H195" s="18" t="str">
        <f aca="false">IFERROR(VALUE(LEFT(F195,1))*VALUE(LEFT(G195,1)),"")</f>
        <v/>
      </c>
      <c r="I195" s="15" t="str">
        <f aca="false">IF($H195="","",IF($H195&gt;=16,"Critique",IF($H195&gt;=9,"Élevé",IF($H195&gt;=5,"Moyen","Faible"))))</f>
        <v/>
      </c>
      <c r="J195" s="17"/>
      <c r="K195" s="15"/>
      <c r="L195" s="17"/>
      <c r="M195" s="18" t="str">
        <f aca="false">IF($H195="","",ROUND($H195*IFERROR(VLOOKUP($K195,Listes!$E$2:$F$5,2,FALSE()),1),0))</f>
        <v/>
      </c>
      <c r="N195" s="15" t="str">
        <f aca="false">IF($M195="","",IF($M195&gt;=16,"Critique",IF($M195&gt;=9,"Élevé",IF($M195&gt;=5,"Moyen","Faible"))))</f>
        <v/>
      </c>
      <c r="O195" s="15" t="str">
        <f aca="false">IF($M195="","",IF($M195&gt;=9,"OUI",""))</f>
        <v/>
      </c>
      <c r="P195" s="16"/>
      <c r="Q195" s="15"/>
      <c r="R195" s="15"/>
      <c r="T195" s="19" t="n">
        <f aca="false">IFERROR(ROUND(VALUE(LEFT(F195,1))*VALUE(LEFT(G195,1))*IFERROR(VLOOKUP($K195,Listes!$E$2:$F$5,2,FALSE()),1),0),0)</f>
        <v>0</v>
      </c>
    </row>
    <row r="196" customFormat="false" ht="15" hidden="false" customHeight="false" outlineLevel="0" collapsed="false">
      <c r="A196" s="15"/>
      <c r="B196" s="16"/>
      <c r="C196" s="16"/>
      <c r="D196" s="17"/>
      <c r="E196" s="17"/>
      <c r="F196" s="15"/>
      <c r="G196" s="15"/>
      <c r="H196" s="18" t="str">
        <f aca="false">IFERROR(VALUE(LEFT(F196,1))*VALUE(LEFT(G196,1)),"")</f>
        <v/>
      </c>
      <c r="I196" s="15" t="str">
        <f aca="false">IF($H196="","",IF($H196&gt;=16,"Critique",IF($H196&gt;=9,"Élevé",IF($H196&gt;=5,"Moyen","Faible"))))</f>
        <v/>
      </c>
      <c r="J196" s="17"/>
      <c r="K196" s="15"/>
      <c r="L196" s="17"/>
      <c r="M196" s="18" t="str">
        <f aca="false">IF($H196="","",ROUND($H196*IFERROR(VLOOKUP($K196,Listes!$E$2:$F$5,2,FALSE()),1),0))</f>
        <v/>
      </c>
      <c r="N196" s="15" t="str">
        <f aca="false">IF($M196="","",IF($M196&gt;=16,"Critique",IF($M196&gt;=9,"Élevé",IF($M196&gt;=5,"Moyen","Faible"))))</f>
        <v/>
      </c>
      <c r="O196" s="15" t="str">
        <f aca="false">IF($M196="","",IF($M196&gt;=9,"OUI",""))</f>
        <v/>
      </c>
      <c r="P196" s="16"/>
      <c r="Q196" s="15"/>
      <c r="R196" s="15"/>
      <c r="T196" s="19" t="n">
        <f aca="false">IFERROR(ROUND(VALUE(LEFT(F196,1))*VALUE(LEFT(G196,1))*IFERROR(VLOOKUP($K196,Listes!$E$2:$F$5,2,FALSE()),1),0),0)</f>
        <v>0</v>
      </c>
    </row>
    <row r="197" customFormat="false" ht="15" hidden="false" customHeight="false" outlineLevel="0" collapsed="false">
      <c r="A197" s="15"/>
      <c r="B197" s="16"/>
      <c r="C197" s="16"/>
      <c r="D197" s="17"/>
      <c r="E197" s="17"/>
      <c r="F197" s="15"/>
      <c r="G197" s="15"/>
      <c r="H197" s="18" t="str">
        <f aca="false">IFERROR(VALUE(LEFT(F197,1))*VALUE(LEFT(G197,1)),"")</f>
        <v/>
      </c>
      <c r="I197" s="15" t="str">
        <f aca="false">IF($H197="","",IF($H197&gt;=16,"Critique",IF($H197&gt;=9,"Élevé",IF($H197&gt;=5,"Moyen","Faible"))))</f>
        <v/>
      </c>
      <c r="J197" s="17"/>
      <c r="K197" s="15"/>
      <c r="L197" s="17"/>
      <c r="M197" s="18" t="str">
        <f aca="false">IF($H197="","",ROUND($H197*IFERROR(VLOOKUP($K197,Listes!$E$2:$F$5,2,FALSE()),1),0))</f>
        <v/>
      </c>
      <c r="N197" s="15" t="str">
        <f aca="false">IF($M197="","",IF($M197&gt;=16,"Critique",IF($M197&gt;=9,"Élevé",IF($M197&gt;=5,"Moyen","Faible"))))</f>
        <v/>
      </c>
      <c r="O197" s="15" t="str">
        <f aca="false">IF($M197="","",IF($M197&gt;=9,"OUI",""))</f>
        <v/>
      </c>
      <c r="P197" s="16"/>
      <c r="Q197" s="15"/>
      <c r="R197" s="15"/>
      <c r="T197" s="19" t="n">
        <f aca="false">IFERROR(ROUND(VALUE(LEFT(F197,1))*VALUE(LEFT(G197,1))*IFERROR(VLOOKUP($K197,Listes!$E$2:$F$5,2,FALSE()),1),0),0)</f>
        <v>0</v>
      </c>
    </row>
    <row r="198" customFormat="false" ht="15" hidden="false" customHeight="false" outlineLevel="0" collapsed="false">
      <c r="A198" s="15"/>
      <c r="B198" s="16"/>
      <c r="C198" s="16"/>
      <c r="D198" s="17"/>
      <c r="E198" s="17"/>
      <c r="F198" s="15"/>
      <c r="G198" s="15"/>
      <c r="H198" s="18" t="str">
        <f aca="false">IFERROR(VALUE(LEFT(F198,1))*VALUE(LEFT(G198,1)),"")</f>
        <v/>
      </c>
      <c r="I198" s="15" t="str">
        <f aca="false">IF($H198="","",IF($H198&gt;=16,"Critique",IF($H198&gt;=9,"Élevé",IF($H198&gt;=5,"Moyen","Faible"))))</f>
        <v/>
      </c>
      <c r="J198" s="17"/>
      <c r="K198" s="15"/>
      <c r="L198" s="17"/>
      <c r="M198" s="18" t="str">
        <f aca="false">IF($H198="","",ROUND($H198*IFERROR(VLOOKUP($K198,Listes!$E$2:$F$5,2,FALSE()),1),0))</f>
        <v/>
      </c>
      <c r="N198" s="15" t="str">
        <f aca="false">IF($M198="","",IF($M198&gt;=16,"Critique",IF($M198&gt;=9,"Élevé",IF($M198&gt;=5,"Moyen","Faible"))))</f>
        <v/>
      </c>
      <c r="O198" s="15" t="str">
        <f aca="false">IF($M198="","",IF($M198&gt;=9,"OUI",""))</f>
        <v/>
      </c>
      <c r="P198" s="16"/>
      <c r="Q198" s="15"/>
      <c r="R198" s="15"/>
      <c r="T198" s="19" t="n">
        <f aca="false">IFERROR(ROUND(VALUE(LEFT(F198,1))*VALUE(LEFT(G198,1))*IFERROR(VLOOKUP($K198,Listes!$E$2:$F$5,2,FALSE()),1),0),0)</f>
        <v>0</v>
      </c>
    </row>
    <row r="199" customFormat="false" ht="15" hidden="false" customHeight="false" outlineLevel="0" collapsed="false">
      <c r="A199" s="15"/>
      <c r="B199" s="16"/>
      <c r="C199" s="16"/>
      <c r="D199" s="17"/>
      <c r="E199" s="17"/>
      <c r="F199" s="15"/>
      <c r="G199" s="15"/>
      <c r="H199" s="18" t="str">
        <f aca="false">IFERROR(VALUE(LEFT(F199,1))*VALUE(LEFT(G199,1)),"")</f>
        <v/>
      </c>
      <c r="I199" s="15" t="str">
        <f aca="false">IF($H199="","",IF($H199&gt;=16,"Critique",IF($H199&gt;=9,"Élevé",IF($H199&gt;=5,"Moyen","Faible"))))</f>
        <v/>
      </c>
      <c r="J199" s="17"/>
      <c r="K199" s="15"/>
      <c r="L199" s="17"/>
      <c r="M199" s="18" t="str">
        <f aca="false">IF($H199="","",ROUND($H199*IFERROR(VLOOKUP($K199,Listes!$E$2:$F$5,2,FALSE()),1),0))</f>
        <v/>
      </c>
      <c r="N199" s="15" t="str">
        <f aca="false">IF($M199="","",IF($M199&gt;=16,"Critique",IF($M199&gt;=9,"Élevé",IF($M199&gt;=5,"Moyen","Faible"))))</f>
        <v/>
      </c>
      <c r="O199" s="15" t="str">
        <f aca="false">IF($M199="","",IF($M199&gt;=9,"OUI",""))</f>
        <v/>
      </c>
      <c r="P199" s="16"/>
      <c r="Q199" s="15"/>
      <c r="R199" s="15"/>
      <c r="T199" s="19" t="n">
        <f aca="false">IFERROR(ROUND(VALUE(LEFT(F199,1))*VALUE(LEFT(G199,1))*IFERROR(VLOOKUP($K199,Listes!$E$2:$F$5,2,FALSE()),1),0),0)</f>
        <v>0</v>
      </c>
    </row>
    <row r="200" customFormat="false" ht="15" hidden="false" customHeight="false" outlineLevel="0" collapsed="false">
      <c r="A200" s="15"/>
      <c r="B200" s="16"/>
      <c r="C200" s="16"/>
      <c r="D200" s="17"/>
      <c r="E200" s="17"/>
      <c r="F200" s="15"/>
      <c r="G200" s="15"/>
      <c r="H200" s="18" t="str">
        <f aca="false">IFERROR(VALUE(LEFT(F200,1))*VALUE(LEFT(G200,1)),"")</f>
        <v/>
      </c>
      <c r="I200" s="15" t="str">
        <f aca="false">IF($H200="","",IF($H200&gt;=16,"Critique",IF($H200&gt;=9,"Élevé",IF($H200&gt;=5,"Moyen","Faible"))))</f>
        <v/>
      </c>
      <c r="J200" s="17"/>
      <c r="K200" s="15"/>
      <c r="L200" s="17"/>
      <c r="M200" s="18" t="str">
        <f aca="false">IF($H200="","",ROUND($H200*IFERROR(VLOOKUP($K200,Listes!$E$2:$F$5,2,FALSE()),1),0))</f>
        <v/>
      </c>
      <c r="N200" s="15" t="str">
        <f aca="false">IF($M200="","",IF($M200&gt;=16,"Critique",IF($M200&gt;=9,"Élevé",IF($M200&gt;=5,"Moyen","Faible"))))</f>
        <v/>
      </c>
      <c r="O200" s="15" t="str">
        <f aca="false">IF($M200="","",IF($M200&gt;=9,"OUI",""))</f>
        <v/>
      </c>
      <c r="P200" s="16"/>
      <c r="Q200" s="15"/>
      <c r="R200" s="15"/>
      <c r="T200" s="19" t="n">
        <f aca="false">IFERROR(ROUND(VALUE(LEFT(F200,1))*VALUE(LEFT(G200,1))*IFERROR(VLOOKUP($K200,Listes!$E$2:$F$5,2,FALSE()),1),0),0)</f>
        <v>0</v>
      </c>
    </row>
    <row r="201" customFormat="false" ht="15" hidden="false" customHeight="false" outlineLevel="0" collapsed="false">
      <c r="A201" s="15"/>
      <c r="B201" s="16"/>
      <c r="C201" s="16"/>
      <c r="D201" s="17"/>
      <c r="E201" s="17"/>
      <c r="F201" s="15"/>
      <c r="G201" s="15"/>
      <c r="H201" s="18" t="str">
        <f aca="false">IFERROR(VALUE(LEFT(F201,1))*VALUE(LEFT(G201,1)),"")</f>
        <v/>
      </c>
      <c r="I201" s="15" t="str">
        <f aca="false">IF($H201="","",IF($H201&gt;=16,"Critique",IF($H201&gt;=9,"Élevé",IF($H201&gt;=5,"Moyen","Faible"))))</f>
        <v/>
      </c>
      <c r="J201" s="17"/>
      <c r="K201" s="15"/>
      <c r="L201" s="17"/>
      <c r="M201" s="18" t="str">
        <f aca="false">IF($H201="","",ROUND($H201*IFERROR(VLOOKUP($K201,Listes!$E$2:$F$5,2,FALSE()),1),0))</f>
        <v/>
      </c>
      <c r="N201" s="15" t="str">
        <f aca="false">IF($M201="","",IF($M201&gt;=16,"Critique",IF($M201&gt;=9,"Élevé",IF($M201&gt;=5,"Moyen","Faible"))))</f>
        <v/>
      </c>
      <c r="O201" s="15" t="str">
        <f aca="false">IF($M201="","",IF($M201&gt;=9,"OUI",""))</f>
        <v/>
      </c>
      <c r="P201" s="16"/>
      <c r="Q201" s="15"/>
      <c r="R201" s="15"/>
      <c r="T201" s="19" t="n">
        <f aca="false">IFERROR(ROUND(VALUE(LEFT(F201,1))*VALUE(LEFT(G201,1))*IFERROR(VLOOKUP($K201,Listes!$E$2:$F$5,2,FALSE()),1),0),0)</f>
        <v>0</v>
      </c>
    </row>
    <row r="202" customFormat="false" ht="15" hidden="false" customHeight="false" outlineLevel="0" collapsed="false">
      <c r="A202" s="15"/>
      <c r="B202" s="16"/>
      <c r="C202" s="16"/>
      <c r="D202" s="17"/>
      <c r="E202" s="17"/>
      <c r="F202" s="15"/>
      <c r="G202" s="15"/>
      <c r="H202" s="18" t="str">
        <f aca="false">IFERROR(VALUE(LEFT(F202,1))*VALUE(LEFT(G202,1)),"")</f>
        <v/>
      </c>
      <c r="I202" s="15" t="str">
        <f aca="false">IF($H202="","",IF($H202&gt;=16,"Critique",IF($H202&gt;=9,"Élevé",IF($H202&gt;=5,"Moyen","Faible"))))</f>
        <v/>
      </c>
      <c r="J202" s="17"/>
      <c r="K202" s="15"/>
      <c r="L202" s="17"/>
      <c r="M202" s="18" t="str">
        <f aca="false">IF($H202="","",ROUND($H202*IFERROR(VLOOKUP($K202,Listes!$E$2:$F$5,2,FALSE()),1),0))</f>
        <v/>
      </c>
      <c r="N202" s="15" t="str">
        <f aca="false">IF($M202="","",IF($M202&gt;=16,"Critique",IF($M202&gt;=9,"Élevé",IF($M202&gt;=5,"Moyen","Faible"))))</f>
        <v/>
      </c>
      <c r="O202" s="15" t="str">
        <f aca="false">IF($M202="","",IF($M202&gt;=9,"OUI",""))</f>
        <v/>
      </c>
      <c r="P202" s="16"/>
      <c r="Q202" s="15"/>
      <c r="R202" s="15"/>
      <c r="T202" s="19" t="n">
        <f aca="false">IFERROR(ROUND(VALUE(LEFT(F202,1))*VALUE(LEFT(G202,1))*IFERROR(VLOOKUP($K202,Listes!$E$2:$F$5,2,FALSE()),1),0),0)</f>
        <v>0</v>
      </c>
    </row>
  </sheetData>
  <autoFilter ref="A2:R202"/>
  <mergeCells count="1">
    <mergeCell ref="A1:R1"/>
  </mergeCells>
  <conditionalFormatting sqref="H3:H202">
    <cfRule type="cellIs" priority="2" operator="greaterThanOrEqual" aboveAverage="0" equalAverage="0" bottom="0" percent="0" rank="0" text="" dxfId="11">
      <formula>16</formula>
    </cfRule>
    <cfRule type="cellIs" priority="3" operator="between" aboveAverage="0" equalAverage="0" bottom="0" percent="0" rank="0" text="" dxfId="12">
      <formula>9</formula>
      <formula>15</formula>
    </cfRule>
    <cfRule type="cellIs" priority="4" operator="between" aboveAverage="0" equalAverage="0" bottom="0" percent="0" rank="0" text="" dxfId="13">
      <formula>5</formula>
      <formula>8</formula>
    </cfRule>
    <cfRule type="cellIs" priority="5" operator="between" aboveAverage="0" equalAverage="0" bottom="0" percent="0" rank="0" text="" dxfId="14">
      <formula>1</formula>
      <formula>4</formula>
    </cfRule>
  </conditionalFormatting>
  <conditionalFormatting sqref="M3:M202">
    <cfRule type="cellIs" priority="6" operator="greaterThanOrEqual" aboveAverage="0" equalAverage="0" bottom="0" percent="0" rank="0" text="" dxfId="11">
      <formula>16</formula>
    </cfRule>
    <cfRule type="cellIs" priority="7" operator="between" aboveAverage="0" equalAverage="0" bottom="0" percent="0" rank="0" text="" dxfId="12">
      <formula>9</formula>
      <formula>15</formula>
    </cfRule>
    <cfRule type="cellIs" priority="8" operator="between" aboveAverage="0" equalAverage="0" bottom="0" percent="0" rank="0" text="" dxfId="13">
      <formula>5</formula>
      <formula>8</formula>
    </cfRule>
    <cfRule type="cellIs" priority="9" operator="between" aboveAverage="0" equalAverage="0" bottom="0" percent="0" rank="0" text="" dxfId="14">
      <formula>1</formula>
      <formula>4</formula>
    </cfRule>
  </conditionalFormatting>
  <conditionalFormatting sqref="I3:I202">
    <cfRule type="expression" priority="10" aboveAverage="0" equalAverage="0" bottom="0" percent="0" rank="0" text="" dxfId="11">
      <formula>EXACT($I3,"Critique")</formula>
    </cfRule>
    <cfRule type="expression" priority="11" aboveAverage="0" equalAverage="0" bottom="0" percent="0" rank="0" text="" dxfId="12">
      <formula>EXACT($I3,"Élevé")</formula>
    </cfRule>
    <cfRule type="expression" priority="12" aboveAverage="0" equalAverage="0" bottom="0" percent="0" rank="0" text="" dxfId="13">
      <formula>EXACT($I3,"Moyen")</formula>
    </cfRule>
    <cfRule type="expression" priority="13" aboveAverage="0" equalAverage="0" bottom="0" percent="0" rank="0" text="" dxfId="14">
      <formula>EXACT($I3,"Faible")</formula>
    </cfRule>
  </conditionalFormatting>
  <conditionalFormatting sqref="N3:N202">
    <cfRule type="expression" priority="14" aboveAverage="0" equalAverage="0" bottom="0" percent="0" rank="0" text="" dxfId="11">
      <formula>EXACT($N3,"Critique")</formula>
    </cfRule>
    <cfRule type="expression" priority="15" aboveAverage="0" equalAverage="0" bottom="0" percent="0" rank="0" text="" dxfId="12">
      <formula>EXACT($N3,"Élevé")</formula>
    </cfRule>
    <cfRule type="expression" priority="16" aboveAverage="0" equalAverage="0" bottom="0" percent="0" rank="0" text="" dxfId="13">
      <formula>EXACT($N3,"Moyen")</formula>
    </cfRule>
    <cfRule type="expression" priority="17" aboveAverage="0" equalAverage="0" bottom="0" percent="0" rank="0" text="" dxfId="14">
      <formula>EXACT($N3,"Faible")</formula>
    </cfRule>
  </conditionalFormatting>
  <conditionalFormatting sqref="O3:O202">
    <cfRule type="expression" priority="18" aboveAverage="0" equalAverage="0" bottom="0" percent="0" rank="0" text="" dxfId="15">
      <formula>EXACT($O3,"OUI")</formula>
    </cfRule>
  </conditionalFormatting>
  <dataValidations count="5">
    <dataValidation allowBlank="true" errorStyle="stop" operator="between" showDropDown="false" showErrorMessage="false" showInputMessage="false" sqref="C3:C202" type="list">
      <formula1>Listes!$A$2:$A$31</formula1>
      <formula2>0</formula2>
    </dataValidation>
    <dataValidation allowBlank="true" errorStyle="stop" operator="between" showDropDown="false" showErrorMessage="false" showInputMessage="false" sqref="F3:F202" type="list">
      <formula1>Listes!$C$2:$C$5</formula1>
      <formula2>0</formula2>
    </dataValidation>
    <dataValidation allowBlank="true" errorStyle="stop" operator="between" showDropDown="false" showErrorMessage="false" showInputMessage="false" sqref="G3:G202" type="list">
      <formula1>Listes!$D$2:$D$5</formula1>
      <formula2>0</formula2>
    </dataValidation>
    <dataValidation allowBlank="true" errorStyle="stop" operator="between" showDropDown="false" showErrorMessage="false" showInputMessage="false" sqref="K3:K202" type="list">
      <formula1>Listes!$E$2:$E$5</formula1>
      <formula2>0</formula2>
    </dataValidation>
    <dataValidation allowBlank="true" errorStyle="stop" operator="between" showDropDown="false" showErrorMessage="false" showInputMessage="false" sqref="R3:R202" type="list">
      <formula1>Listes!$H$2:$H$5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20"/>
    <col collapsed="false" customWidth="true" hidden="false" outlineLevel="0" max="3" min="3" style="0" width="22"/>
    <col collapsed="false" customWidth="true" hidden="false" outlineLevel="0" max="4" min="4" style="0" width="32"/>
    <col collapsed="false" customWidth="true" hidden="false" outlineLevel="0" max="5" min="5" style="0" width="11"/>
    <col collapsed="false" customWidth="true" hidden="false" outlineLevel="0" max="6" min="6" style="0" width="34"/>
    <col collapsed="false" customWidth="true" hidden="false" outlineLevel="0" max="7" min="7" style="0" width="12"/>
    <col collapsed="false" customWidth="true" hidden="false" outlineLevel="0" max="8" min="8" style="0" width="18"/>
    <col collapsed="false" customWidth="true" hidden="false" outlineLevel="0" max="9" min="9" style="0" width="12"/>
    <col collapsed="false" customWidth="true" hidden="false" outlineLevel="0" max="10" min="10" style="0" width="13"/>
    <col collapsed="false" customWidth="true" hidden="false" outlineLevel="0" max="11" min="11" style="0" width="14"/>
    <col collapsed="false" customWidth="true" hidden="false" outlineLevel="0" max="12" min="12" style="0" width="26"/>
    <col collapsed="false" customWidth="true" hidden="true" outlineLevel="0" max="14" min="14" style="0" width="13"/>
  </cols>
  <sheetData>
    <row r="1" customFormat="false" ht="27.75" hidden="false" customHeight="true" outlineLevel="0" collapsed="false">
      <c r="A1" s="20" t="s">
        <v>95</v>
      </c>
      <c r="B1" s="20"/>
      <c r="C1" s="20"/>
      <c r="D1" s="20"/>
      <c r="E1" s="20"/>
      <c r="F1" s="20"/>
      <c r="G1" s="20"/>
      <c r="H1" s="20"/>
      <c r="I1" s="20"/>
      <c r="J1" s="20"/>
      <c r="K1" s="20"/>
      <c r="L1" s="20"/>
    </row>
    <row r="2" customFormat="false" ht="27.75" hidden="false" customHeight="true" outlineLevel="0" collapsed="false">
      <c r="A2" s="21" t="s">
        <v>96</v>
      </c>
      <c r="B2" s="21"/>
      <c r="C2" s="21"/>
      <c r="D2" s="21"/>
      <c r="E2" s="21"/>
      <c r="F2" s="21"/>
      <c r="G2" s="21"/>
      <c r="H2" s="21"/>
      <c r="I2" s="21"/>
      <c r="J2" s="21"/>
      <c r="K2" s="21"/>
      <c r="L2" s="21"/>
    </row>
    <row r="3" customFormat="false" ht="39.75" hidden="false" customHeight="true" outlineLevel="0" collapsed="false">
      <c r="A3" s="14" t="s">
        <v>97</v>
      </c>
      <c r="B3" s="14" t="s">
        <v>46</v>
      </c>
      <c r="C3" s="14" t="s">
        <v>98</v>
      </c>
      <c r="D3" s="14" t="s">
        <v>48</v>
      </c>
      <c r="E3" s="14" t="s">
        <v>99</v>
      </c>
      <c r="F3" s="14" t="s">
        <v>56</v>
      </c>
      <c r="G3" s="14" t="s">
        <v>100</v>
      </c>
      <c r="H3" s="14" t="s">
        <v>60</v>
      </c>
      <c r="I3" s="14" t="s">
        <v>61</v>
      </c>
      <c r="J3" s="14" t="s">
        <v>62</v>
      </c>
      <c r="K3" s="14" t="s">
        <v>101</v>
      </c>
      <c r="L3" s="14" t="s">
        <v>102</v>
      </c>
    </row>
    <row r="4" customFormat="false" ht="23.85" hidden="false" customHeight="false" outlineLevel="0" collapsed="false">
      <c r="A4" s="15" t="n">
        <f aca="false">IF($N4="","",INDEX(DUERP!$A:$A,$N4))</f>
        <v>1</v>
      </c>
      <c r="B4" s="15" t="str">
        <f aca="false">IF($N4="","",INDEX(DUERP!$B:$B,$N4))</f>
        <v>Atelier de production</v>
      </c>
      <c r="C4" s="15" t="str">
        <f aca="false">IF($N4="","",INDEX(DUERP!$C:$C,$N4))</f>
        <v>Activité physique / manutention manuelle</v>
      </c>
      <c r="D4" s="17" t="str">
        <f aca="false">IF($N4="","",INDEX(DUERP!$D:$D,$N4))</f>
        <v>Port répété de sacs de 30 kg sans aide</v>
      </c>
      <c r="E4" s="18" t="n">
        <f aca="false">IF($N4="","",INDEX(DUERP!$H:$H,$N4))</f>
        <v>12</v>
      </c>
      <c r="F4" s="17" t="str">
        <f aca="false">IF($N4="","",INDEX(DUERP!$L:$L,$N4))</f>
        <v>Table élévatrice, formation PRAP, rotation des postes</v>
      </c>
      <c r="G4" s="18" t="n">
        <f aca="false">IF($N4="","",INDEX(DUERP!$M:$M,$N4))</f>
        <v>12</v>
      </c>
      <c r="H4" s="15" t="str">
        <f aca="false">IF($N4="","",INDEX(DUERP!$P:$P,$N4))</f>
        <v>Responsable atelier</v>
      </c>
      <c r="I4" s="15" t="str">
        <f aca="false">IF($N4="","",INDEX(DUERP!$Q:$Q,$N4))</f>
        <v>30/06/2026</v>
      </c>
      <c r="J4" s="15" t="str">
        <f aca="false">IF($N4="","",INDEX(DUERP!$R:$R,$N4))</f>
        <v>À faire</v>
      </c>
      <c r="K4" s="22"/>
      <c r="L4" s="17"/>
      <c r="N4" s="0" t="n">
        <f aca="false">IFERROR(_xlfn.AGGREGATE(15,6,ROW(DUERP!$T$3:$T$202)/(DUERP!$T$3:$T$202&gt;=9),ROWS($N$4:$N4)),"")</f>
        <v>3</v>
      </c>
    </row>
    <row r="5" customFormat="false" ht="23.85" hidden="false" customHeight="false" outlineLevel="0" collapsed="false">
      <c r="A5" s="15" t="n">
        <f aca="false">IF($N5="","",INDEX(DUERP!$A:$A,$N5))</f>
        <v>2</v>
      </c>
      <c r="B5" s="15" t="str">
        <f aca="false">IF($N5="","",INDEX(DUERP!$B:$B,$N5))</f>
        <v>Entrepôt</v>
      </c>
      <c r="C5" s="15" t="str">
        <f aca="false">IF($N5="","",INDEX(DUERP!$C:$C,$N5))</f>
        <v>Chute de hauteur</v>
      </c>
      <c r="D5" s="17" t="str">
        <f aca="false">IF($N5="","",INDEX(DUERP!$D:$D,$N5))</f>
        <v>Travail en hauteur sur rack (&gt;3 m) sans protection collective</v>
      </c>
      <c r="E5" s="18" t="n">
        <f aca="false">IF($N5="","",INDEX(DUERP!$H:$H,$N5))</f>
        <v>8</v>
      </c>
      <c r="F5" s="17" t="str">
        <f aca="false">IF($N5="","",INDEX(DUERP!$L:$L,$N5))</f>
        <v>Garde-corps / nacelle (PEMP), habilitation hauteur</v>
      </c>
      <c r="G5" s="18" t="n">
        <f aca="false">IF($N5="","",INDEX(DUERP!$M:$M,$N5))</f>
        <v>12</v>
      </c>
      <c r="H5" s="15" t="str">
        <f aca="false">IF($N5="","",INDEX(DUERP!$P:$P,$N5))</f>
        <v>Direction</v>
      </c>
      <c r="I5" s="15" t="str">
        <f aca="false">IF($N5="","",INDEX(DUERP!$Q:$Q,$N5))</f>
        <v>30/09/2026</v>
      </c>
      <c r="J5" s="15" t="str">
        <f aca="false">IF($N5="","",INDEX(DUERP!$R:$R,$N5))</f>
        <v>À faire</v>
      </c>
      <c r="K5" s="22"/>
      <c r="L5" s="17"/>
      <c r="N5" s="0" t="n">
        <f aca="false">IFERROR(_xlfn.AGGREGATE(15,6,ROW(DUERP!$T$3:$T$202)/(DUERP!$T$3:$T$202&gt;=9),ROWS($N$4:$N5)),"")</f>
        <v>4</v>
      </c>
    </row>
    <row r="6" customFormat="false" ht="23.85" hidden="false" customHeight="false" outlineLevel="0" collapsed="false">
      <c r="A6" s="15" t="n">
        <f aca="false">IF($N6="","",INDEX(DUERP!$A:$A,$N6))</f>
        <v>4</v>
      </c>
      <c r="B6" s="15" t="str">
        <f aca="false">IF($N6="","",INDEX(DUERP!$B:$B,$N6))</f>
        <v>Atelier de production</v>
      </c>
      <c r="C6" s="15" t="str">
        <f aca="false">IF($N6="","",INDEX(DUERP!$C:$C,$N6))</f>
        <v>Bruit</v>
      </c>
      <c r="D6" s="17" t="str">
        <f aca="false">IF($N6="","",INDEX(DUERP!$D:$D,$N6))</f>
        <v>Exposition &gt; 81 dB(A) plusieurs heures/jour</v>
      </c>
      <c r="E6" s="18" t="n">
        <f aca="false">IF($N6="","",INDEX(DUERP!$H:$H,$N6))</f>
        <v>6</v>
      </c>
      <c r="F6" s="17" t="str">
        <f aca="false">IF($N6="","",INDEX(DUERP!$L:$L,$N6))</f>
        <v>Encoffrement des machines, EPI adaptés, mesurage du bruit</v>
      </c>
      <c r="G6" s="18" t="n">
        <f aca="false">IF($N6="","",INDEX(DUERP!$M:$M,$N6))</f>
        <v>9</v>
      </c>
      <c r="H6" s="15" t="str">
        <f aca="false">IF($N6="","",INDEX(DUERP!$P:$P,$N6))</f>
        <v>Resp. maintenance</v>
      </c>
      <c r="I6" s="15" t="str">
        <f aca="false">IF($N6="","",INDEX(DUERP!$Q:$Q,$N6))</f>
        <v>30/06/2026</v>
      </c>
      <c r="J6" s="15" t="str">
        <f aca="false">IF($N6="","",INDEX(DUERP!$R:$R,$N6))</f>
        <v>En cours</v>
      </c>
      <c r="K6" s="22"/>
      <c r="L6" s="17"/>
      <c r="N6" s="0" t="n">
        <f aca="false">IFERROR(_xlfn.AGGREGATE(15,6,ROW(DUERP!$T$3:$T$202)/(DUERP!$T$3:$T$202&gt;=9),ROWS($N$4:$N6)),"")</f>
        <v>6</v>
      </c>
    </row>
    <row r="7" customFormat="false" ht="15" hidden="false" customHeight="false" outlineLevel="0" collapsed="false">
      <c r="A7" s="15" t="str">
        <f aca="false">IF($N7="","",INDEX(DUERP!$A:$A,$N7))</f>
        <v/>
      </c>
      <c r="B7" s="15" t="str">
        <f aca="false">IF($N7="","",INDEX(DUERP!$B:$B,$N7))</f>
        <v/>
      </c>
      <c r="C7" s="15" t="str">
        <f aca="false">IF($N7="","",INDEX(DUERP!$C:$C,$N7))</f>
        <v/>
      </c>
      <c r="D7" s="17" t="str">
        <f aca="false">IF($N7="","",INDEX(DUERP!$D:$D,$N7))</f>
        <v/>
      </c>
      <c r="E7" s="18" t="str">
        <f aca="false">IF($N7="","",INDEX(DUERP!$H:$H,$N7))</f>
        <v/>
      </c>
      <c r="F7" s="17" t="str">
        <f aca="false">IF($N7="","",INDEX(DUERP!$L:$L,$N7))</f>
        <v/>
      </c>
      <c r="G7" s="18" t="str">
        <f aca="false">IF($N7="","",INDEX(DUERP!$M:$M,$N7))</f>
        <v/>
      </c>
      <c r="H7" s="15" t="str">
        <f aca="false">IF($N7="","",INDEX(DUERP!$P:$P,$N7))</f>
        <v/>
      </c>
      <c r="I7" s="15" t="str">
        <f aca="false">IF($N7="","",INDEX(DUERP!$Q:$Q,$N7))</f>
        <v/>
      </c>
      <c r="J7" s="15" t="str">
        <f aca="false">IF($N7="","",INDEX(DUERP!$R:$R,$N7))</f>
        <v/>
      </c>
      <c r="K7" s="22"/>
      <c r="L7" s="17"/>
      <c r="N7" s="0" t="str">
        <f aca="false">IFERROR(_xlfn.AGGREGATE(15,6,ROW(DUERP!$T$3:$T$202)/(DUERP!$T$3:$T$202&gt;=9),ROWS($N$4:$N7)),"")</f>
        <v/>
      </c>
    </row>
    <row r="8" customFormat="false" ht="15" hidden="false" customHeight="false" outlineLevel="0" collapsed="false">
      <c r="A8" s="15" t="str">
        <f aca="false">IF($N8="","",INDEX(DUERP!$A:$A,$N8))</f>
        <v/>
      </c>
      <c r="B8" s="15" t="str">
        <f aca="false">IF($N8="","",INDEX(DUERP!$B:$B,$N8))</f>
        <v/>
      </c>
      <c r="C8" s="15" t="str">
        <f aca="false">IF($N8="","",INDEX(DUERP!$C:$C,$N8))</f>
        <v/>
      </c>
      <c r="D8" s="17" t="str">
        <f aca="false">IF($N8="","",INDEX(DUERP!$D:$D,$N8))</f>
        <v/>
      </c>
      <c r="E8" s="18" t="str">
        <f aca="false">IF($N8="","",INDEX(DUERP!$H:$H,$N8))</f>
        <v/>
      </c>
      <c r="F8" s="17" t="str">
        <f aca="false">IF($N8="","",INDEX(DUERP!$L:$L,$N8))</f>
        <v/>
      </c>
      <c r="G8" s="18" t="str">
        <f aca="false">IF($N8="","",INDEX(DUERP!$M:$M,$N8))</f>
        <v/>
      </c>
      <c r="H8" s="15" t="str">
        <f aca="false">IF($N8="","",INDEX(DUERP!$P:$P,$N8))</f>
        <v/>
      </c>
      <c r="I8" s="15" t="str">
        <f aca="false">IF($N8="","",INDEX(DUERP!$Q:$Q,$N8))</f>
        <v/>
      </c>
      <c r="J8" s="15" t="str">
        <f aca="false">IF($N8="","",INDEX(DUERP!$R:$R,$N8))</f>
        <v/>
      </c>
      <c r="K8" s="22"/>
      <c r="L8" s="17"/>
      <c r="N8" s="0" t="str">
        <f aca="false">IFERROR(_xlfn.AGGREGATE(15,6,ROW(DUERP!$T$3:$T$202)/(DUERP!$T$3:$T$202&gt;=9),ROWS($N$4:$N8)),"")</f>
        <v/>
      </c>
    </row>
    <row r="9" customFormat="false" ht="15" hidden="false" customHeight="false" outlineLevel="0" collapsed="false">
      <c r="A9" s="15" t="str">
        <f aca="false">IF($N9="","",INDEX(DUERP!$A:$A,$N9))</f>
        <v/>
      </c>
      <c r="B9" s="15" t="str">
        <f aca="false">IF($N9="","",INDEX(DUERP!$B:$B,$N9))</f>
        <v/>
      </c>
      <c r="C9" s="15" t="str">
        <f aca="false">IF($N9="","",INDEX(DUERP!$C:$C,$N9))</f>
        <v/>
      </c>
      <c r="D9" s="17" t="str">
        <f aca="false">IF($N9="","",INDEX(DUERP!$D:$D,$N9))</f>
        <v/>
      </c>
      <c r="E9" s="18" t="str">
        <f aca="false">IF($N9="","",INDEX(DUERP!$H:$H,$N9))</f>
        <v/>
      </c>
      <c r="F9" s="17" t="str">
        <f aca="false">IF($N9="","",INDEX(DUERP!$L:$L,$N9))</f>
        <v/>
      </c>
      <c r="G9" s="18" t="str">
        <f aca="false">IF($N9="","",INDEX(DUERP!$M:$M,$N9))</f>
        <v/>
      </c>
      <c r="H9" s="15" t="str">
        <f aca="false">IF($N9="","",INDEX(DUERP!$P:$P,$N9))</f>
        <v/>
      </c>
      <c r="I9" s="15" t="str">
        <f aca="false">IF($N9="","",INDEX(DUERP!$Q:$Q,$N9))</f>
        <v/>
      </c>
      <c r="J9" s="15" t="str">
        <f aca="false">IF($N9="","",INDEX(DUERP!$R:$R,$N9))</f>
        <v/>
      </c>
      <c r="K9" s="22"/>
      <c r="L9" s="17"/>
      <c r="N9" s="0" t="str">
        <f aca="false">IFERROR(_xlfn.AGGREGATE(15,6,ROW(DUERP!$T$3:$T$202)/(DUERP!$T$3:$T$202&gt;=9),ROWS($N$4:$N9)),"")</f>
        <v/>
      </c>
    </row>
    <row r="10" customFormat="false" ht="15" hidden="false" customHeight="false" outlineLevel="0" collapsed="false">
      <c r="A10" s="15" t="str">
        <f aca="false">IF($N10="","",INDEX(DUERP!$A:$A,$N10))</f>
        <v/>
      </c>
      <c r="B10" s="15" t="str">
        <f aca="false">IF($N10="","",INDEX(DUERP!$B:$B,$N10))</f>
        <v/>
      </c>
      <c r="C10" s="15" t="str">
        <f aca="false">IF($N10="","",INDEX(DUERP!$C:$C,$N10))</f>
        <v/>
      </c>
      <c r="D10" s="17" t="str">
        <f aca="false">IF($N10="","",INDEX(DUERP!$D:$D,$N10))</f>
        <v/>
      </c>
      <c r="E10" s="18" t="str">
        <f aca="false">IF($N10="","",INDEX(DUERP!$H:$H,$N10))</f>
        <v/>
      </c>
      <c r="F10" s="17" t="str">
        <f aca="false">IF($N10="","",INDEX(DUERP!$L:$L,$N10))</f>
        <v/>
      </c>
      <c r="G10" s="18" t="str">
        <f aca="false">IF($N10="","",INDEX(DUERP!$M:$M,$N10))</f>
        <v/>
      </c>
      <c r="H10" s="15" t="str">
        <f aca="false">IF($N10="","",INDEX(DUERP!$P:$P,$N10))</f>
        <v/>
      </c>
      <c r="I10" s="15" t="str">
        <f aca="false">IF($N10="","",INDEX(DUERP!$Q:$Q,$N10))</f>
        <v/>
      </c>
      <c r="J10" s="15" t="str">
        <f aca="false">IF($N10="","",INDEX(DUERP!$R:$R,$N10))</f>
        <v/>
      </c>
      <c r="K10" s="22"/>
      <c r="L10" s="17"/>
      <c r="N10" s="0" t="str">
        <f aca="false">IFERROR(_xlfn.AGGREGATE(15,6,ROW(DUERP!$T$3:$T$202)/(DUERP!$T$3:$T$202&gt;=9),ROWS($N$4:$N10)),"")</f>
        <v/>
      </c>
    </row>
    <row r="11" customFormat="false" ht="15" hidden="false" customHeight="false" outlineLevel="0" collapsed="false">
      <c r="A11" s="15" t="str">
        <f aca="false">IF($N11="","",INDEX(DUERP!$A:$A,$N11))</f>
        <v/>
      </c>
      <c r="B11" s="15" t="str">
        <f aca="false">IF($N11="","",INDEX(DUERP!$B:$B,$N11))</f>
        <v/>
      </c>
      <c r="C11" s="15" t="str">
        <f aca="false">IF($N11="","",INDEX(DUERP!$C:$C,$N11))</f>
        <v/>
      </c>
      <c r="D11" s="17" t="str">
        <f aca="false">IF($N11="","",INDEX(DUERP!$D:$D,$N11))</f>
        <v/>
      </c>
      <c r="E11" s="18" t="str">
        <f aca="false">IF($N11="","",INDEX(DUERP!$H:$H,$N11))</f>
        <v/>
      </c>
      <c r="F11" s="17" t="str">
        <f aca="false">IF($N11="","",INDEX(DUERP!$L:$L,$N11))</f>
        <v/>
      </c>
      <c r="G11" s="18" t="str">
        <f aca="false">IF($N11="","",INDEX(DUERP!$M:$M,$N11))</f>
        <v/>
      </c>
      <c r="H11" s="15" t="str">
        <f aca="false">IF($N11="","",INDEX(DUERP!$P:$P,$N11))</f>
        <v/>
      </c>
      <c r="I11" s="15" t="str">
        <f aca="false">IF($N11="","",INDEX(DUERP!$Q:$Q,$N11))</f>
        <v/>
      </c>
      <c r="J11" s="15" t="str">
        <f aca="false">IF($N11="","",INDEX(DUERP!$R:$R,$N11))</f>
        <v/>
      </c>
      <c r="K11" s="22"/>
      <c r="L11" s="17"/>
      <c r="N11" s="0" t="str">
        <f aca="false">IFERROR(_xlfn.AGGREGATE(15,6,ROW(DUERP!$T$3:$T$202)/(DUERP!$T$3:$T$202&gt;=9),ROWS($N$4:$N11)),"")</f>
        <v/>
      </c>
    </row>
    <row r="12" customFormat="false" ht="15" hidden="false" customHeight="false" outlineLevel="0" collapsed="false">
      <c r="A12" s="15" t="str">
        <f aca="false">IF($N12="","",INDEX(DUERP!$A:$A,$N12))</f>
        <v/>
      </c>
      <c r="B12" s="15" t="str">
        <f aca="false">IF($N12="","",INDEX(DUERP!$B:$B,$N12))</f>
        <v/>
      </c>
      <c r="C12" s="15" t="str">
        <f aca="false">IF($N12="","",INDEX(DUERP!$C:$C,$N12))</f>
        <v/>
      </c>
      <c r="D12" s="17" t="str">
        <f aca="false">IF($N12="","",INDEX(DUERP!$D:$D,$N12))</f>
        <v/>
      </c>
      <c r="E12" s="18" t="str">
        <f aca="false">IF($N12="","",INDEX(DUERP!$H:$H,$N12))</f>
        <v/>
      </c>
      <c r="F12" s="17" t="str">
        <f aca="false">IF($N12="","",INDEX(DUERP!$L:$L,$N12))</f>
        <v/>
      </c>
      <c r="G12" s="18" t="str">
        <f aca="false">IF($N12="","",INDEX(DUERP!$M:$M,$N12))</f>
        <v/>
      </c>
      <c r="H12" s="15" t="str">
        <f aca="false">IF($N12="","",INDEX(DUERP!$P:$P,$N12))</f>
        <v/>
      </c>
      <c r="I12" s="15" t="str">
        <f aca="false">IF($N12="","",INDEX(DUERP!$Q:$Q,$N12))</f>
        <v/>
      </c>
      <c r="J12" s="15" t="str">
        <f aca="false">IF($N12="","",INDEX(DUERP!$R:$R,$N12))</f>
        <v/>
      </c>
      <c r="K12" s="22"/>
      <c r="L12" s="17"/>
      <c r="N12" s="0" t="str">
        <f aca="false">IFERROR(_xlfn.AGGREGATE(15,6,ROW(DUERP!$T$3:$T$202)/(DUERP!$T$3:$T$202&gt;=9),ROWS($N$4:$N12)),"")</f>
        <v/>
      </c>
    </row>
    <row r="13" customFormat="false" ht="15" hidden="false" customHeight="false" outlineLevel="0" collapsed="false">
      <c r="A13" s="15" t="str">
        <f aca="false">IF($N13="","",INDEX(DUERP!$A:$A,$N13))</f>
        <v/>
      </c>
      <c r="B13" s="15" t="str">
        <f aca="false">IF($N13="","",INDEX(DUERP!$B:$B,$N13))</f>
        <v/>
      </c>
      <c r="C13" s="15" t="str">
        <f aca="false">IF($N13="","",INDEX(DUERP!$C:$C,$N13))</f>
        <v/>
      </c>
      <c r="D13" s="17" t="str">
        <f aca="false">IF($N13="","",INDEX(DUERP!$D:$D,$N13))</f>
        <v/>
      </c>
      <c r="E13" s="18" t="str">
        <f aca="false">IF($N13="","",INDEX(DUERP!$H:$H,$N13))</f>
        <v/>
      </c>
      <c r="F13" s="17" t="str">
        <f aca="false">IF($N13="","",INDEX(DUERP!$L:$L,$N13))</f>
        <v/>
      </c>
      <c r="G13" s="18" t="str">
        <f aca="false">IF($N13="","",INDEX(DUERP!$M:$M,$N13))</f>
        <v/>
      </c>
      <c r="H13" s="15" t="str">
        <f aca="false">IF($N13="","",INDEX(DUERP!$P:$P,$N13))</f>
        <v/>
      </c>
      <c r="I13" s="15" t="str">
        <f aca="false">IF($N13="","",INDEX(DUERP!$Q:$Q,$N13))</f>
        <v/>
      </c>
      <c r="J13" s="15" t="str">
        <f aca="false">IF($N13="","",INDEX(DUERP!$R:$R,$N13))</f>
        <v/>
      </c>
      <c r="K13" s="22"/>
      <c r="L13" s="17"/>
      <c r="N13" s="0" t="str">
        <f aca="false">IFERROR(_xlfn.AGGREGATE(15,6,ROW(DUERP!$T$3:$T$202)/(DUERP!$T$3:$T$202&gt;=9),ROWS($N$4:$N13)),"")</f>
        <v/>
      </c>
    </row>
    <row r="14" customFormat="false" ht="15" hidden="false" customHeight="false" outlineLevel="0" collapsed="false">
      <c r="A14" s="15" t="str">
        <f aca="false">IF($N14="","",INDEX(DUERP!$A:$A,$N14))</f>
        <v/>
      </c>
      <c r="B14" s="15" t="str">
        <f aca="false">IF($N14="","",INDEX(DUERP!$B:$B,$N14))</f>
        <v/>
      </c>
      <c r="C14" s="15" t="str">
        <f aca="false">IF($N14="","",INDEX(DUERP!$C:$C,$N14))</f>
        <v/>
      </c>
      <c r="D14" s="17" t="str">
        <f aca="false">IF($N14="","",INDEX(DUERP!$D:$D,$N14))</f>
        <v/>
      </c>
      <c r="E14" s="18" t="str">
        <f aca="false">IF($N14="","",INDEX(DUERP!$H:$H,$N14))</f>
        <v/>
      </c>
      <c r="F14" s="17" t="str">
        <f aca="false">IF($N14="","",INDEX(DUERP!$L:$L,$N14))</f>
        <v/>
      </c>
      <c r="G14" s="18" t="str">
        <f aca="false">IF($N14="","",INDEX(DUERP!$M:$M,$N14))</f>
        <v/>
      </c>
      <c r="H14" s="15" t="str">
        <f aca="false">IF($N14="","",INDEX(DUERP!$P:$P,$N14))</f>
        <v/>
      </c>
      <c r="I14" s="15" t="str">
        <f aca="false">IF($N14="","",INDEX(DUERP!$Q:$Q,$N14))</f>
        <v/>
      </c>
      <c r="J14" s="15" t="str">
        <f aca="false">IF($N14="","",INDEX(DUERP!$R:$R,$N14))</f>
        <v/>
      </c>
      <c r="K14" s="22"/>
      <c r="L14" s="17"/>
      <c r="N14" s="0" t="str">
        <f aca="false">IFERROR(_xlfn.AGGREGATE(15,6,ROW(DUERP!$T$3:$T$202)/(DUERP!$T$3:$T$202&gt;=9),ROWS($N$4:$N14)),"")</f>
        <v/>
      </c>
    </row>
    <row r="15" customFormat="false" ht="15" hidden="false" customHeight="false" outlineLevel="0" collapsed="false">
      <c r="A15" s="15" t="str">
        <f aca="false">IF($N15="","",INDEX(DUERP!$A:$A,$N15))</f>
        <v/>
      </c>
      <c r="B15" s="15" t="str">
        <f aca="false">IF($N15="","",INDEX(DUERP!$B:$B,$N15))</f>
        <v/>
      </c>
      <c r="C15" s="15" t="str">
        <f aca="false">IF($N15="","",INDEX(DUERP!$C:$C,$N15))</f>
        <v/>
      </c>
      <c r="D15" s="17" t="str">
        <f aca="false">IF($N15="","",INDEX(DUERP!$D:$D,$N15))</f>
        <v/>
      </c>
      <c r="E15" s="18" t="str">
        <f aca="false">IF($N15="","",INDEX(DUERP!$H:$H,$N15))</f>
        <v/>
      </c>
      <c r="F15" s="17" t="str">
        <f aca="false">IF($N15="","",INDEX(DUERP!$L:$L,$N15))</f>
        <v/>
      </c>
      <c r="G15" s="18" t="str">
        <f aca="false">IF($N15="","",INDEX(DUERP!$M:$M,$N15))</f>
        <v/>
      </c>
      <c r="H15" s="15" t="str">
        <f aca="false">IF($N15="","",INDEX(DUERP!$P:$P,$N15))</f>
        <v/>
      </c>
      <c r="I15" s="15" t="str">
        <f aca="false">IF($N15="","",INDEX(DUERP!$Q:$Q,$N15))</f>
        <v/>
      </c>
      <c r="J15" s="15" t="str">
        <f aca="false">IF($N15="","",INDEX(DUERP!$R:$R,$N15))</f>
        <v/>
      </c>
      <c r="K15" s="22"/>
      <c r="L15" s="17"/>
      <c r="N15" s="0" t="str">
        <f aca="false">IFERROR(_xlfn.AGGREGATE(15,6,ROW(DUERP!$T$3:$T$202)/(DUERP!$T$3:$T$202&gt;=9),ROWS($N$4:$N15)),"")</f>
        <v/>
      </c>
    </row>
    <row r="16" customFormat="false" ht="15" hidden="false" customHeight="false" outlineLevel="0" collapsed="false">
      <c r="A16" s="15" t="str">
        <f aca="false">IF($N16="","",INDEX(DUERP!$A:$A,$N16))</f>
        <v/>
      </c>
      <c r="B16" s="15" t="str">
        <f aca="false">IF($N16="","",INDEX(DUERP!$B:$B,$N16))</f>
        <v/>
      </c>
      <c r="C16" s="15" t="str">
        <f aca="false">IF($N16="","",INDEX(DUERP!$C:$C,$N16))</f>
        <v/>
      </c>
      <c r="D16" s="17" t="str">
        <f aca="false">IF($N16="","",INDEX(DUERP!$D:$D,$N16))</f>
        <v/>
      </c>
      <c r="E16" s="18" t="str">
        <f aca="false">IF($N16="","",INDEX(DUERP!$H:$H,$N16))</f>
        <v/>
      </c>
      <c r="F16" s="17" t="str">
        <f aca="false">IF($N16="","",INDEX(DUERP!$L:$L,$N16))</f>
        <v/>
      </c>
      <c r="G16" s="18" t="str">
        <f aca="false">IF($N16="","",INDEX(DUERP!$M:$M,$N16))</f>
        <v/>
      </c>
      <c r="H16" s="15" t="str">
        <f aca="false">IF($N16="","",INDEX(DUERP!$P:$P,$N16))</f>
        <v/>
      </c>
      <c r="I16" s="15" t="str">
        <f aca="false">IF($N16="","",INDEX(DUERP!$Q:$Q,$N16))</f>
        <v/>
      </c>
      <c r="J16" s="15" t="str">
        <f aca="false">IF($N16="","",INDEX(DUERP!$R:$R,$N16))</f>
        <v/>
      </c>
      <c r="K16" s="22"/>
      <c r="L16" s="17"/>
      <c r="N16" s="0" t="str">
        <f aca="false">IFERROR(_xlfn.AGGREGATE(15,6,ROW(DUERP!$T$3:$T$202)/(DUERP!$T$3:$T$202&gt;=9),ROWS($N$4:$N16)),"")</f>
        <v/>
      </c>
    </row>
    <row r="17" customFormat="false" ht="15" hidden="false" customHeight="false" outlineLevel="0" collapsed="false">
      <c r="A17" s="15" t="str">
        <f aca="false">IF($N17="","",INDEX(DUERP!$A:$A,$N17))</f>
        <v/>
      </c>
      <c r="B17" s="15" t="str">
        <f aca="false">IF($N17="","",INDEX(DUERP!$B:$B,$N17))</f>
        <v/>
      </c>
      <c r="C17" s="15" t="str">
        <f aca="false">IF($N17="","",INDEX(DUERP!$C:$C,$N17))</f>
        <v/>
      </c>
      <c r="D17" s="17" t="str">
        <f aca="false">IF($N17="","",INDEX(DUERP!$D:$D,$N17))</f>
        <v/>
      </c>
      <c r="E17" s="18" t="str">
        <f aca="false">IF($N17="","",INDEX(DUERP!$H:$H,$N17))</f>
        <v/>
      </c>
      <c r="F17" s="17" t="str">
        <f aca="false">IF($N17="","",INDEX(DUERP!$L:$L,$N17))</f>
        <v/>
      </c>
      <c r="G17" s="18" t="str">
        <f aca="false">IF($N17="","",INDEX(DUERP!$M:$M,$N17))</f>
        <v/>
      </c>
      <c r="H17" s="15" t="str">
        <f aca="false">IF($N17="","",INDEX(DUERP!$P:$P,$N17))</f>
        <v/>
      </c>
      <c r="I17" s="15" t="str">
        <f aca="false">IF($N17="","",INDEX(DUERP!$Q:$Q,$N17))</f>
        <v/>
      </c>
      <c r="J17" s="15" t="str">
        <f aca="false">IF($N17="","",INDEX(DUERP!$R:$R,$N17))</f>
        <v/>
      </c>
      <c r="K17" s="22"/>
      <c r="L17" s="17"/>
      <c r="N17" s="0" t="str">
        <f aca="false">IFERROR(_xlfn.AGGREGATE(15,6,ROW(DUERP!$T$3:$T$202)/(DUERP!$T$3:$T$202&gt;=9),ROWS($N$4:$N17)),"")</f>
        <v/>
      </c>
    </row>
    <row r="18" customFormat="false" ht="15" hidden="false" customHeight="false" outlineLevel="0" collapsed="false">
      <c r="A18" s="15" t="str">
        <f aca="false">IF($N18="","",INDEX(DUERP!$A:$A,$N18))</f>
        <v/>
      </c>
      <c r="B18" s="15" t="str">
        <f aca="false">IF($N18="","",INDEX(DUERP!$B:$B,$N18))</f>
        <v/>
      </c>
      <c r="C18" s="15" t="str">
        <f aca="false">IF($N18="","",INDEX(DUERP!$C:$C,$N18))</f>
        <v/>
      </c>
      <c r="D18" s="17" t="str">
        <f aca="false">IF($N18="","",INDEX(DUERP!$D:$D,$N18))</f>
        <v/>
      </c>
      <c r="E18" s="18" t="str">
        <f aca="false">IF($N18="","",INDEX(DUERP!$H:$H,$N18))</f>
        <v/>
      </c>
      <c r="F18" s="17" t="str">
        <f aca="false">IF($N18="","",INDEX(DUERP!$L:$L,$N18))</f>
        <v/>
      </c>
      <c r="G18" s="18" t="str">
        <f aca="false">IF($N18="","",INDEX(DUERP!$M:$M,$N18))</f>
        <v/>
      </c>
      <c r="H18" s="15" t="str">
        <f aca="false">IF($N18="","",INDEX(DUERP!$P:$P,$N18))</f>
        <v/>
      </c>
      <c r="I18" s="15" t="str">
        <f aca="false">IF($N18="","",INDEX(DUERP!$Q:$Q,$N18))</f>
        <v/>
      </c>
      <c r="J18" s="15" t="str">
        <f aca="false">IF($N18="","",INDEX(DUERP!$R:$R,$N18))</f>
        <v/>
      </c>
      <c r="K18" s="22"/>
      <c r="L18" s="17"/>
      <c r="N18" s="0" t="str">
        <f aca="false">IFERROR(_xlfn.AGGREGATE(15,6,ROW(DUERP!$T$3:$T$202)/(DUERP!$T$3:$T$202&gt;=9),ROWS($N$4:$N18)),"")</f>
        <v/>
      </c>
    </row>
    <row r="19" customFormat="false" ht="15" hidden="false" customHeight="false" outlineLevel="0" collapsed="false">
      <c r="A19" s="15" t="str">
        <f aca="false">IF($N19="","",INDEX(DUERP!$A:$A,$N19))</f>
        <v/>
      </c>
      <c r="B19" s="15" t="str">
        <f aca="false">IF($N19="","",INDEX(DUERP!$B:$B,$N19))</f>
        <v/>
      </c>
      <c r="C19" s="15" t="str">
        <f aca="false">IF($N19="","",INDEX(DUERP!$C:$C,$N19))</f>
        <v/>
      </c>
      <c r="D19" s="17" t="str">
        <f aca="false">IF($N19="","",INDEX(DUERP!$D:$D,$N19))</f>
        <v/>
      </c>
      <c r="E19" s="18" t="str">
        <f aca="false">IF($N19="","",INDEX(DUERP!$H:$H,$N19))</f>
        <v/>
      </c>
      <c r="F19" s="17" t="str">
        <f aca="false">IF($N19="","",INDEX(DUERP!$L:$L,$N19))</f>
        <v/>
      </c>
      <c r="G19" s="18" t="str">
        <f aca="false">IF($N19="","",INDEX(DUERP!$M:$M,$N19))</f>
        <v/>
      </c>
      <c r="H19" s="15" t="str">
        <f aca="false">IF($N19="","",INDEX(DUERP!$P:$P,$N19))</f>
        <v/>
      </c>
      <c r="I19" s="15" t="str">
        <f aca="false">IF($N19="","",INDEX(DUERP!$Q:$Q,$N19))</f>
        <v/>
      </c>
      <c r="J19" s="15" t="str">
        <f aca="false">IF($N19="","",INDEX(DUERP!$R:$R,$N19))</f>
        <v/>
      </c>
      <c r="K19" s="22"/>
      <c r="L19" s="17"/>
      <c r="N19" s="0" t="str">
        <f aca="false">IFERROR(_xlfn.AGGREGATE(15,6,ROW(DUERP!$T$3:$T$202)/(DUERP!$T$3:$T$202&gt;=9),ROWS($N$4:$N19)),"")</f>
        <v/>
      </c>
    </row>
    <row r="20" customFormat="false" ht="15" hidden="false" customHeight="false" outlineLevel="0" collapsed="false">
      <c r="A20" s="15" t="str">
        <f aca="false">IF($N20="","",INDEX(DUERP!$A:$A,$N20))</f>
        <v/>
      </c>
      <c r="B20" s="15" t="str">
        <f aca="false">IF($N20="","",INDEX(DUERP!$B:$B,$N20))</f>
        <v/>
      </c>
      <c r="C20" s="15" t="str">
        <f aca="false">IF($N20="","",INDEX(DUERP!$C:$C,$N20))</f>
        <v/>
      </c>
      <c r="D20" s="17" t="str">
        <f aca="false">IF($N20="","",INDEX(DUERP!$D:$D,$N20))</f>
        <v/>
      </c>
      <c r="E20" s="18" t="str">
        <f aca="false">IF($N20="","",INDEX(DUERP!$H:$H,$N20))</f>
        <v/>
      </c>
      <c r="F20" s="17" t="str">
        <f aca="false">IF($N20="","",INDEX(DUERP!$L:$L,$N20))</f>
        <v/>
      </c>
      <c r="G20" s="18" t="str">
        <f aca="false">IF($N20="","",INDEX(DUERP!$M:$M,$N20))</f>
        <v/>
      </c>
      <c r="H20" s="15" t="str">
        <f aca="false">IF($N20="","",INDEX(DUERP!$P:$P,$N20))</f>
        <v/>
      </c>
      <c r="I20" s="15" t="str">
        <f aca="false">IF($N20="","",INDEX(DUERP!$Q:$Q,$N20))</f>
        <v/>
      </c>
      <c r="J20" s="15" t="str">
        <f aca="false">IF($N20="","",INDEX(DUERP!$R:$R,$N20))</f>
        <v/>
      </c>
      <c r="K20" s="22"/>
      <c r="L20" s="17"/>
      <c r="N20" s="0" t="str">
        <f aca="false">IFERROR(_xlfn.AGGREGATE(15,6,ROW(DUERP!$T$3:$T$202)/(DUERP!$T$3:$T$202&gt;=9),ROWS($N$4:$N20)),"")</f>
        <v/>
      </c>
    </row>
    <row r="21" customFormat="false" ht="15" hidden="false" customHeight="false" outlineLevel="0" collapsed="false">
      <c r="A21" s="15" t="str">
        <f aca="false">IF($N21="","",INDEX(DUERP!$A:$A,$N21))</f>
        <v/>
      </c>
      <c r="B21" s="15" t="str">
        <f aca="false">IF($N21="","",INDEX(DUERP!$B:$B,$N21))</f>
        <v/>
      </c>
      <c r="C21" s="15" t="str">
        <f aca="false">IF($N21="","",INDEX(DUERP!$C:$C,$N21))</f>
        <v/>
      </c>
      <c r="D21" s="17" t="str">
        <f aca="false">IF($N21="","",INDEX(DUERP!$D:$D,$N21))</f>
        <v/>
      </c>
      <c r="E21" s="18" t="str">
        <f aca="false">IF($N21="","",INDEX(DUERP!$H:$H,$N21))</f>
        <v/>
      </c>
      <c r="F21" s="17" t="str">
        <f aca="false">IF($N21="","",INDEX(DUERP!$L:$L,$N21))</f>
        <v/>
      </c>
      <c r="G21" s="18" t="str">
        <f aca="false">IF($N21="","",INDEX(DUERP!$M:$M,$N21))</f>
        <v/>
      </c>
      <c r="H21" s="15" t="str">
        <f aca="false">IF($N21="","",INDEX(DUERP!$P:$P,$N21))</f>
        <v/>
      </c>
      <c r="I21" s="15" t="str">
        <f aca="false">IF($N21="","",INDEX(DUERP!$Q:$Q,$N21))</f>
        <v/>
      </c>
      <c r="J21" s="15" t="str">
        <f aca="false">IF($N21="","",INDEX(DUERP!$R:$R,$N21))</f>
        <v/>
      </c>
      <c r="K21" s="22"/>
      <c r="L21" s="17"/>
      <c r="N21" s="0" t="str">
        <f aca="false">IFERROR(_xlfn.AGGREGATE(15,6,ROW(DUERP!$T$3:$T$202)/(DUERP!$T$3:$T$202&gt;=9),ROWS($N$4:$N21)),"")</f>
        <v/>
      </c>
    </row>
    <row r="22" customFormat="false" ht="15" hidden="false" customHeight="false" outlineLevel="0" collapsed="false">
      <c r="A22" s="15" t="str">
        <f aca="false">IF($N22="","",INDEX(DUERP!$A:$A,$N22))</f>
        <v/>
      </c>
      <c r="B22" s="15" t="str">
        <f aca="false">IF($N22="","",INDEX(DUERP!$B:$B,$N22))</f>
        <v/>
      </c>
      <c r="C22" s="15" t="str">
        <f aca="false">IF($N22="","",INDEX(DUERP!$C:$C,$N22))</f>
        <v/>
      </c>
      <c r="D22" s="17" t="str">
        <f aca="false">IF($N22="","",INDEX(DUERP!$D:$D,$N22))</f>
        <v/>
      </c>
      <c r="E22" s="18" t="str">
        <f aca="false">IF($N22="","",INDEX(DUERP!$H:$H,$N22))</f>
        <v/>
      </c>
      <c r="F22" s="17" t="str">
        <f aca="false">IF($N22="","",INDEX(DUERP!$L:$L,$N22))</f>
        <v/>
      </c>
      <c r="G22" s="18" t="str">
        <f aca="false">IF($N22="","",INDEX(DUERP!$M:$M,$N22))</f>
        <v/>
      </c>
      <c r="H22" s="15" t="str">
        <f aca="false">IF($N22="","",INDEX(DUERP!$P:$P,$N22))</f>
        <v/>
      </c>
      <c r="I22" s="15" t="str">
        <f aca="false">IF($N22="","",INDEX(DUERP!$Q:$Q,$N22))</f>
        <v/>
      </c>
      <c r="J22" s="15" t="str">
        <f aca="false">IF($N22="","",INDEX(DUERP!$R:$R,$N22))</f>
        <v/>
      </c>
      <c r="K22" s="22"/>
      <c r="L22" s="17"/>
      <c r="N22" s="0" t="str">
        <f aca="false">IFERROR(_xlfn.AGGREGATE(15,6,ROW(DUERP!$T$3:$T$202)/(DUERP!$T$3:$T$202&gt;=9),ROWS($N$4:$N22)),"")</f>
        <v/>
      </c>
    </row>
    <row r="23" customFormat="false" ht="15" hidden="false" customHeight="false" outlineLevel="0" collapsed="false">
      <c r="A23" s="15" t="str">
        <f aca="false">IF($N23="","",INDEX(DUERP!$A:$A,$N23))</f>
        <v/>
      </c>
      <c r="B23" s="15" t="str">
        <f aca="false">IF($N23="","",INDEX(DUERP!$B:$B,$N23))</f>
        <v/>
      </c>
      <c r="C23" s="15" t="str">
        <f aca="false">IF($N23="","",INDEX(DUERP!$C:$C,$N23))</f>
        <v/>
      </c>
      <c r="D23" s="17" t="str">
        <f aca="false">IF($N23="","",INDEX(DUERP!$D:$D,$N23))</f>
        <v/>
      </c>
      <c r="E23" s="18" t="str">
        <f aca="false">IF($N23="","",INDEX(DUERP!$H:$H,$N23))</f>
        <v/>
      </c>
      <c r="F23" s="17" t="str">
        <f aca="false">IF($N23="","",INDEX(DUERP!$L:$L,$N23))</f>
        <v/>
      </c>
      <c r="G23" s="18" t="str">
        <f aca="false">IF($N23="","",INDEX(DUERP!$M:$M,$N23))</f>
        <v/>
      </c>
      <c r="H23" s="15" t="str">
        <f aca="false">IF($N23="","",INDEX(DUERP!$P:$P,$N23))</f>
        <v/>
      </c>
      <c r="I23" s="15" t="str">
        <f aca="false">IF($N23="","",INDEX(DUERP!$Q:$Q,$N23))</f>
        <v/>
      </c>
      <c r="J23" s="15" t="str">
        <f aca="false">IF($N23="","",INDEX(DUERP!$R:$R,$N23))</f>
        <v/>
      </c>
      <c r="K23" s="22"/>
      <c r="L23" s="17"/>
      <c r="N23" s="0" t="str">
        <f aca="false">IFERROR(_xlfn.AGGREGATE(15,6,ROW(DUERP!$T$3:$T$202)/(DUERP!$T$3:$T$202&gt;=9),ROWS($N$4:$N23)),"")</f>
        <v/>
      </c>
    </row>
    <row r="24" customFormat="false" ht="15" hidden="false" customHeight="false" outlineLevel="0" collapsed="false">
      <c r="A24" s="15" t="str">
        <f aca="false">IF($N24="","",INDEX(DUERP!$A:$A,$N24))</f>
        <v/>
      </c>
      <c r="B24" s="15" t="str">
        <f aca="false">IF($N24="","",INDEX(DUERP!$B:$B,$N24))</f>
        <v/>
      </c>
      <c r="C24" s="15" t="str">
        <f aca="false">IF($N24="","",INDEX(DUERP!$C:$C,$N24))</f>
        <v/>
      </c>
      <c r="D24" s="17" t="str">
        <f aca="false">IF($N24="","",INDEX(DUERP!$D:$D,$N24))</f>
        <v/>
      </c>
      <c r="E24" s="18" t="str">
        <f aca="false">IF($N24="","",INDEX(DUERP!$H:$H,$N24))</f>
        <v/>
      </c>
      <c r="F24" s="17" t="str">
        <f aca="false">IF($N24="","",INDEX(DUERP!$L:$L,$N24))</f>
        <v/>
      </c>
      <c r="G24" s="18" t="str">
        <f aca="false">IF($N24="","",INDEX(DUERP!$M:$M,$N24))</f>
        <v/>
      </c>
      <c r="H24" s="15" t="str">
        <f aca="false">IF($N24="","",INDEX(DUERP!$P:$P,$N24))</f>
        <v/>
      </c>
      <c r="I24" s="15" t="str">
        <f aca="false">IF($N24="","",INDEX(DUERP!$Q:$Q,$N24))</f>
        <v/>
      </c>
      <c r="J24" s="15" t="str">
        <f aca="false">IF($N24="","",INDEX(DUERP!$R:$R,$N24))</f>
        <v/>
      </c>
      <c r="K24" s="22"/>
      <c r="L24" s="17"/>
      <c r="N24" s="0" t="str">
        <f aca="false">IFERROR(_xlfn.AGGREGATE(15,6,ROW(DUERP!$T$3:$T$202)/(DUERP!$T$3:$T$202&gt;=9),ROWS($N$4:$N24)),"")</f>
        <v/>
      </c>
    </row>
    <row r="25" customFormat="false" ht="15" hidden="false" customHeight="false" outlineLevel="0" collapsed="false">
      <c r="A25" s="15" t="str">
        <f aca="false">IF($N25="","",INDEX(DUERP!$A:$A,$N25))</f>
        <v/>
      </c>
      <c r="B25" s="15" t="str">
        <f aca="false">IF($N25="","",INDEX(DUERP!$B:$B,$N25))</f>
        <v/>
      </c>
      <c r="C25" s="15" t="str">
        <f aca="false">IF($N25="","",INDEX(DUERP!$C:$C,$N25))</f>
        <v/>
      </c>
      <c r="D25" s="17" t="str">
        <f aca="false">IF($N25="","",INDEX(DUERP!$D:$D,$N25))</f>
        <v/>
      </c>
      <c r="E25" s="18" t="str">
        <f aca="false">IF($N25="","",INDEX(DUERP!$H:$H,$N25))</f>
        <v/>
      </c>
      <c r="F25" s="17" t="str">
        <f aca="false">IF($N25="","",INDEX(DUERP!$L:$L,$N25))</f>
        <v/>
      </c>
      <c r="G25" s="18" t="str">
        <f aca="false">IF($N25="","",INDEX(DUERP!$M:$M,$N25))</f>
        <v/>
      </c>
      <c r="H25" s="15" t="str">
        <f aca="false">IF($N25="","",INDEX(DUERP!$P:$P,$N25))</f>
        <v/>
      </c>
      <c r="I25" s="15" t="str">
        <f aca="false">IF($N25="","",INDEX(DUERP!$Q:$Q,$N25))</f>
        <v/>
      </c>
      <c r="J25" s="15" t="str">
        <f aca="false">IF($N25="","",INDEX(DUERP!$R:$R,$N25))</f>
        <v/>
      </c>
      <c r="K25" s="22"/>
      <c r="L25" s="17"/>
      <c r="N25" s="0" t="str">
        <f aca="false">IFERROR(_xlfn.AGGREGATE(15,6,ROW(DUERP!$T$3:$T$202)/(DUERP!$T$3:$T$202&gt;=9),ROWS($N$4:$N25)),"")</f>
        <v/>
      </c>
    </row>
    <row r="26" customFormat="false" ht="15" hidden="false" customHeight="false" outlineLevel="0" collapsed="false">
      <c r="A26" s="15" t="str">
        <f aca="false">IF($N26="","",INDEX(DUERP!$A:$A,$N26))</f>
        <v/>
      </c>
      <c r="B26" s="15" t="str">
        <f aca="false">IF($N26="","",INDEX(DUERP!$B:$B,$N26))</f>
        <v/>
      </c>
      <c r="C26" s="15" t="str">
        <f aca="false">IF($N26="","",INDEX(DUERP!$C:$C,$N26))</f>
        <v/>
      </c>
      <c r="D26" s="17" t="str">
        <f aca="false">IF($N26="","",INDEX(DUERP!$D:$D,$N26))</f>
        <v/>
      </c>
      <c r="E26" s="18" t="str">
        <f aca="false">IF($N26="","",INDEX(DUERP!$H:$H,$N26))</f>
        <v/>
      </c>
      <c r="F26" s="17" t="str">
        <f aca="false">IF($N26="","",INDEX(DUERP!$L:$L,$N26))</f>
        <v/>
      </c>
      <c r="G26" s="18" t="str">
        <f aca="false">IF($N26="","",INDEX(DUERP!$M:$M,$N26))</f>
        <v/>
      </c>
      <c r="H26" s="15" t="str">
        <f aca="false">IF($N26="","",INDEX(DUERP!$P:$P,$N26))</f>
        <v/>
      </c>
      <c r="I26" s="15" t="str">
        <f aca="false">IF($N26="","",INDEX(DUERP!$Q:$Q,$N26))</f>
        <v/>
      </c>
      <c r="J26" s="15" t="str">
        <f aca="false">IF($N26="","",INDEX(DUERP!$R:$R,$N26))</f>
        <v/>
      </c>
      <c r="K26" s="22"/>
      <c r="L26" s="17"/>
      <c r="N26" s="0" t="str">
        <f aca="false">IFERROR(_xlfn.AGGREGATE(15,6,ROW(DUERP!$T$3:$T$202)/(DUERP!$T$3:$T$202&gt;=9),ROWS($N$4:$N26)),"")</f>
        <v/>
      </c>
    </row>
    <row r="27" customFormat="false" ht="15" hidden="false" customHeight="false" outlineLevel="0" collapsed="false">
      <c r="A27" s="15" t="str">
        <f aca="false">IF($N27="","",INDEX(DUERP!$A:$A,$N27))</f>
        <v/>
      </c>
      <c r="B27" s="15" t="str">
        <f aca="false">IF($N27="","",INDEX(DUERP!$B:$B,$N27))</f>
        <v/>
      </c>
      <c r="C27" s="15" t="str">
        <f aca="false">IF($N27="","",INDEX(DUERP!$C:$C,$N27))</f>
        <v/>
      </c>
      <c r="D27" s="17" t="str">
        <f aca="false">IF($N27="","",INDEX(DUERP!$D:$D,$N27))</f>
        <v/>
      </c>
      <c r="E27" s="18" t="str">
        <f aca="false">IF($N27="","",INDEX(DUERP!$H:$H,$N27))</f>
        <v/>
      </c>
      <c r="F27" s="17" t="str">
        <f aca="false">IF($N27="","",INDEX(DUERP!$L:$L,$N27))</f>
        <v/>
      </c>
      <c r="G27" s="18" t="str">
        <f aca="false">IF($N27="","",INDEX(DUERP!$M:$M,$N27))</f>
        <v/>
      </c>
      <c r="H27" s="15" t="str">
        <f aca="false">IF($N27="","",INDEX(DUERP!$P:$P,$N27))</f>
        <v/>
      </c>
      <c r="I27" s="15" t="str">
        <f aca="false">IF($N27="","",INDEX(DUERP!$Q:$Q,$N27))</f>
        <v/>
      </c>
      <c r="J27" s="15" t="str">
        <f aca="false">IF($N27="","",INDEX(DUERP!$R:$R,$N27))</f>
        <v/>
      </c>
      <c r="K27" s="22"/>
      <c r="L27" s="17"/>
      <c r="N27" s="0" t="str">
        <f aca="false">IFERROR(_xlfn.AGGREGATE(15,6,ROW(DUERP!$T$3:$T$202)/(DUERP!$T$3:$T$202&gt;=9),ROWS($N$4:$N27)),"")</f>
        <v/>
      </c>
    </row>
    <row r="28" customFormat="false" ht="15" hidden="false" customHeight="false" outlineLevel="0" collapsed="false">
      <c r="A28" s="15" t="str">
        <f aca="false">IF($N28="","",INDEX(DUERP!$A:$A,$N28))</f>
        <v/>
      </c>
      <c r="B28" s="15" t="str">
        <f aca="false">IF($N28="","",INDEX(DUERP!$B:$B,$N28))</f>
        <v/>
      </c>
      <c r="C28" s="15" t="str">
        <f aca="false">IF($N28="","",INDEX(DUERP!$C:$C,$N28))</f>
        <v/>
      </c>
      <c r="D28" s="17" t="str">
        <f aca="false">IF($N28="","",INDEX(DUERP!$D:$D,$N28))</f>
        <v/>
      </c>
      <c r="E28" s="18" t="str">
        <f aca="false">IF($N28="","",INDEX(DUERP!$H:$H,$N28))</f>
        <v/>
      </c>
      <c r="F28" s="17" t="str">
        <f aca="false">IF($N28="","",INDEX(DUERP!$L:$L,$N28))</f>
        <v/>
      </c>
      <c r="G28" s="18" t="str">
        <f aca="false">IF($N28="","",INDEX(DUERP!$M:$M,$N28))</f>
        <v/>
      </c>
      <c r="H28" s="15" t="str">
        <f aca="false">IF($N28="","",INDEX(DUERP!$P:$P,$N28))</f>
        <v/>
      </c>
      <c r="I28" s="15" t="str">
        <f aca="false">IF($N28="","",INDEX(DUERP!$Q:$Q,$N28))</f>
        <v/>
      </c>
      <c r="J28" s="15" t="str">
        <f aca="false">IF($N28="","",INDEX(DUERP!$R:$R,$N28))</f>
        <v/>
      </c>
      <c r="K28" s="22"/>
      <c r="L28" s="17"/>
      <c r="N28" s="0" t="str">
        <f aca="false">IFERROR(_xlfn.AGGREGATE(15,6,ROW(DUERP!$T$3:$T$202)/(DUERP!$T$3:$T$202&gt;=9),ROWS($N$4:$N28)),"")</f>
        <v/>
      </c>
    </row>
    <row r="29" customFormat="false" ht="15" hidden="false" customHeight="false" outlineLevel="0" collapsed="false">
      <c r="A29" s="15" t="str">
        <f aca="false">IF($N29="","",INDEX(DUERP!$A:$A,$N29))</f>
        <v/>
      </c>
      <c r="B29" s="15" t="str">
        <f aca="false">IF($N29="","",INDEX(DUERP!$B:$B,$N29))</f>
        <v/>
      </c>
      <c r="C29" s="15" t="str">
        <f aca="false">IF($N29="","",INDEX(DUERP!$C:$C,$N29))</f>
        <v/>
      </c>
      <c r="D29" s="17" t="str">
        <f aca="false">IF($N29="","",INDEX(DUERP!$D:$D,$N29))</f>
        <v/>
      </c>
      <c r="E29" s="18" t="str">
        <f aca="false">IF($N29="","",INDEX(DUERP!$H:$H,$N29))</f>
        <v/>
      </c>
      <c r="F29" s="17" t="str">
        <f aca="false">IF($N29="","",INDEX(DUERP!$L:$L,$N29))</f>
        <v/>
      </c>
      <c r="G29" s="18" t="str">
        <f aca="false">IF($N29="","",INDEX(DUERP!$M:$M,$N29))</f>
        <v/>
      </c>
      <c r="H29" s="15" t="str">
        <f aca="false">IF($N29="","",INDEX(DUERP!$P:$P,$N29))</f>
        <v/>
      </c>
      <c r="I29" s="15" t="str">
        <f aca="false">IF($N29="","",INDEX(DUERP!$Q:$Q,$N29))</f>
        <v/>
      </c>
      <c r="J29" s="15" t="str">
        <f aca="false">IF($N29="","",INDEX(DUERP!$R:$R,$N29))</f>
        <v/>
      </c>
      <c r="K29" s="22"/>
      <c r="L29" s="17"/>
      <c r="N29" s="0" t="str">
        <f aca="false">IFERROR(_xlfn.AGGREGATE(15,6,ROW(DUERP!$T$3:$T$202)/(DUERP!$T$3:$T$202&gt;=9),ROWS($N$4:$N29)),"")</f>
        <v/>
      </c>
    </row>
    <row r="30" customFormat="false" ht="15" hidden="false" customHeight="false" outlineLevel="0" collapsed="false">
      <c r="A30" s="15" t="str">
        <f aca="false">IF($N30="","",INDEX(DUERP!$A:$A,$N30))</f>
        <v/>
      </c>
      <c r="B30" s="15" t="str">
        <f aca="false">IF($N30="","",INDEX(DUERP!$B:$B,$N30))</f>
        <v/>
      </c>
      <c r="C30" s="15" t="str">
        <f aca="false">IF($N30="","",INDEX(DUERP!$C:$C,$N30))</f>
        <v/>
      </c>
      <c r="D30" s="17" t="str">
        <f aca="false">IF($N30="","",INDEX(DUERP!$D:$D,$N30))</f>
        <v/>
      </c>
      <c r="E30" s="18" t="str">
        <f aca="false">IF($N30="","",INDEX(DUERP!$H:$H,$N30))</f>
        <v/>
      </c>
      <c r="F30" s="17" t="str">
        <f aca="false">IF($N30="","",INDEX(DUERP!$L:$L,$N30))</f>
        <v/>
      </c>
      <c r="G30" s="18" t="str">
        <f aca="false">IF($N30="","",INDEX(DUERP!$M:$M,$N30))</f>
        <v/>
      </c>
      <c r="H30" s="15" t="str">
        <f aca="false">IF($N30="","",INDEX(DUERP!$P:$P,$N30))</f>
        <v/>
      </c>
      <c r="I30" s="15" t="str">
        <f aca="false">IF($N30="","",INDEX(DUERP!$Q:$Q,$N30))</f>
        <v/>
      </c>
      <c r="J30" s="15" t="str">
        <f aca="false">IF($N30="","",INDEX(DUERP!$R:$R,$N30))</f>
        <v/>
      </c>
      <c r="K30" s="22"/>
      <c r="L30" s="17"/>
      <c r="N30" s="0" t="str">
        <f aca="false">IFERROR(_xlfn.AGGREGATE(15,6,ROW(DUERP!$T$3:$T$202)/(DUERP!$T$3:$T$202&gt;=9),ROWS($N$4:$N30)),"")</f>
        <v/>
      </c>
    </row>
    <row r="31" customFormat="false" ht="15" hidden="false" customHeight="false" outlineLevel="0" collapsed="false">
      <c r="A31" s="15" t="str">
        <f aca="false">IF($N31="","",INDEX(DUERP!$A:$A,$N31))</f>
        <v/>
      </c>
      <c r="B31" s="15" t="str">
        <f aca="false">IF($N31="","",INDEX(DUERP!$B:$B,$N31))</f>
        <v/>
      </c>
      <c r="C31" s="15" t="str">
        <f aca="false">IF($N31="","",INDEX(DUERP!$C:$C,$N31))</f>
        <v/>
      </c>
      <c r="D31" s="17" t="str">
        <f aca="false">IF($N31="","",INDEX(DUERP!$D:$D,$N31))</f>
        <v/>
      </c>
      <c r="E31" s="18" t="str">
        <f aca="false">IF($N31="","",INDEX(DUERP!$H:$H,$N31))</f>
        <v/>
      </c>
      <c r="F31" s="17" t="str">
        <f aca="false">IF($N31="","",INDEX(DUERP!$L:$L,$N31))</f>
        <v/>
      </c>
      <c r="G31" s="18" t="str">
        <f aca="false">IF($N31="","",INDEX(DUERP!$M:$M,$N31))</f>
        <v/>
      </c>
      <c r="H31" s="15" t="str">
        <f aca="false">IF($N31="","",INDEX(DUERP!$P:$P,$N31))</f>
        <v/>
      </c>
      <c r="I31" s="15" t="str">
        <f aca="false">IF($N31="","",INDEX(DUERP!$Q:$Q,$N31))</f>
        <v/>
      </c>
      <c r="J31" s="15" t="str">
        <f aca="false">IF($N31="","",INDEX(DUERP!$R:$R,$N31))</f>
        <v/>
      </c>
      <c r="K31" s="22"/>
      <c r="L31" s="17"/>
      <c r="N31" s="0" t="str">
        <f aca="false">IFERROR(_xlfn.AGGREGATE(15,6,ROW(DUERP!$T$3:$T$202)/(DUERP!$T$3:$T$202&gt;=9),ROWS($N$4:$N31)),"")</f>
        <v/>
      </c>
    </row>
    <row r="32" customFormat="false" ht="15" hidden="false" customHeight="false" outlineLevel="0" collapsed="false">
      <c r="A32" s="15" t="str">
        <f aca="false">IF($N32="","",INDEX(DUERP!$A:$A,$N32))</f>
        <v/>
      </c>
      <c r="B32" s="15" t="str">
        <f aca="false">IF($N32="","",INDEX(DUERP!$B:$B,$N32))</f>
        <v/>
      </c>
      <c r="C32" s="15" t="str">
        <f aca="false">IF($N32="","",INDEX(DUERP!$C:$C,$N32))</f>
        <v/>
      </c>
      <c r="D32" s="17" t="str">
        <f aca="false">IF($N32="","",INDEX(DUERP!$D:$D,$N32))</f>
        <v/>
      </c>
      <c r="E32" s="18" t="str">
        <f aca="false">IF($N32="","",INDEX(DUERP!$H:$H,$N32))</f>
        <v/>
      </c>
      <c r="F32" s="17" t="str">
        <f aca="false">IF($N32="","",INDEX(DUERP!$L:$L,$N32))</f>
        <v/>
      </c>
      <c r="G32" s="18" t="str">
        <f aca="false">IF($N32="","",INDEX(DUERP!$M:$M,$N32))</f>
        <v/>
      </c>
      <c r="H32" s="15" t="str">
        <f aca="false">IF($N32="","",INDEX(DUERP!$P:$P,$N32))</f>
        <v/>
      </c>
      <c r="I32" s="15" t="str">
        <f aca="false">IF($N32="","",INDEX(DUERP!$Q:$Q,$N32))</f>
        <v/>
      </c>
      <c r="J32" s="15" t="str">
        <f aca="false">IF($N32="","",INDEX(DUERP!$R:$R,$N32))</f>
        <v/>
      </c>
      <c r="K32" s="22"/>
      <c r="L32" s="17"/>
      <c r="N32" s="0" t="str">
        <f aca="false">IFERROR(_xlfn.AGGREGATE(15,6,ROW(DUERP!$T$3:$T$202)/(DUERP!$T$3:$T$202&gt;=9),ROWS($N$4:$N32)),"")</f>
        <v/>
      </c>
    </row>
    <row r="33" customFormat="false" ht="15" hidden="false" customHeight="false" outlineLevel="0" collapsed="false">
      <c r="A33" s="15" t="str">
        <f aca="false">IF($N33="","",INDEX(DUERP!$A:$A,$N33))</f>
        <v/>
      </c>
      <c r="B33" s="15" t="str">
        <f aca="false">IF($N33="","",INDEX(DUERP!$B:$B,$N33))</f>
        <v/>
      </c>
      <c r="C33" s="15" t="str">
        <f aca="false">IF($N33="","",INDEX(DUERP!$C:$C,$N33))</f>
        <v/>
      </c>
      <c r="D33" s="17" t="str">
        <f aca="false">IF($N33="","",INDEX(DUERP!$D:$D,$N33))</f>
        <v/>
      </c>
      <c r="E33" s="18" t="str">
        <f aca="false">IF($N33="","",INDEX(DUERP!$H:$H,$N33))</f>
        <v/>
      </c>
      <c r="F33" s="17" t="str">
        <f aca="false">IF($N33="","",INDEX(DUERP!$L:$L,$N33))</f>
        <v/>
      </c>
      <c r="G33" s="18" t="str">
        <f aca="false">IF($N33="","",INDEX(DUERP!$M:$M,$N33))</f>
        <v/>
      </c>
      <c r="H33" s="15" t="str">
        <f aca="false">IF($N33="","",INDEX(DUERP!$P:$P,$N33))</f>
        <v/>
      </c>
      <c r="I33" s="15" t="str">
        <f aca="false">IF($N33="","",INDEX(DUERP!$Q:$Q,$N33))</f>
        <v/>
      </c>
      <c r="J33" s="15" t="str">
        <f aca="false">IF($N33="","",INDEX(DUERP!$R:$R,$N33))</f>
        <v/>
      </c>
      <c r="K33" s="22"/>
      <c r="L33" s="17"/>
      <c r="N33" s="0" t="str">
        <f aca="false">IFERROR(_xlfn.AGGREGATE(15,6,ROW(DUERP!$T$3:$T$202)/(DUERP!$T$3:$T$202&gt;=9),ROWS($N$4:$N33)),"")</f>
        <v/>
      </c>
    </row>
    <row r="34" customFormat="false" ht="15" hidden="false" customHeight="false" outlineLevel="0" collapsed="false">
      <c r="A34" s="15" t="str">
        <f aca="false">IF($N34="","",INDEX(DUERP!$A:$A,$N34))</f>
        <v/>
      </c>
      <c r="B34" s="15" t="str">
        <f aca="false">IF($N34="","",INDEX(DUERP!$B:$B,$N34))</f>
        <v/>
      </c>
      <c r="C34" s="15" t="str">
        <f aca="false">IF($N34="","",INDEX(DUERP!$C:$C,$N34))</f>
        <v/>
      </c>
      <c r="D34" s="17" t="str">
        <f aca="false">IF($N34="","",INDEX(DUERP!$D:$D,$N34))</f>
        <v/>
      </c>
      <c r="E34" s="18" t="str">
        <f aca="false">IF($N34="","",INDEX(DUERP!$H:$H,$N34))</f>
        <v/>
      </c>
      <c r="F34" s="17" t="str">
        <f aca="false">IF($N34="","",INDEX(DUERP!$L:$L,$N34))</f>
        <v/>
      </c>
      <c r="G34" s="18" t="str">
        <f aca="false">IF($N34="","",INDEX(DUERP!$M:$M,$N34))</f>
        <v/>
      </c>
      <c r="H34" s="15" t="str">
        <f aca="false">IF($N34="","",INDEX(DUERP!$P:$P,$N34))</f>
        <v/>
      </c>
      <c r="I34" s="15" t="str">
        <f aca="false">IF($N34="","",INDEX(DUERP!$Q:$Q,$N34))</f>
        <v/>
      </c>
      <c r="J34" s="15" t="str">
        <f aca="false">IF($N34="","",INDEX(DUERP!$R:$R,$N34))</f>
        <v/>
      </c>
      <c r="K34" s="22"/>
      <c r="L34" s="17"/>
      <c r="N34" s="0" t="str">
        <f aca="false">IFERROR(_xlfn.AGGREGATE(15,6,ROW(DUERP!$T$3:$T$202)/(DUERP!$T$3:$T$202&gt;=9),ROWS($N$4:$N34)),"")</f>
        <v/>
      </c>
    </row>
    <row r="35" customFormat="false" ht="15" hidden="false" customHeight="false" outlineLevel="0" collapsed="false">
      <c r="A35" s="15" t="str">
        <f aca="false">IF($N35="","",INDEX(DUERP!$A:$A,$N35))</f>
        <v/>
      </c>
      <c r="B35" s="15" t="str">
        <f aca="false">IF($N35="","",INDEX(DUERP!$B:$B,$N35))</f>
        <v/>
      </c>
      <c r="C35" s="15" t="str">
        <f aca="false">IF($N35="","",INDEX(DUERP!$C:$C,$N35))</f>
        <v/>
      </c>
      <c r="D35" s="17" t="str">
        <f aca="false">IF($N35="","",INDEX(DUERP!$D:$D,$N35))</f>
        <v/>
      </c>
      <c r="E35" s="18" t="str">
        <f aca="false">IF($N35="","",INDEX(DUERP!$H:$H,$N35))</f>
        <v/>
      </c>
      <c r="F35" s="17" t="str">
        <f aca="false">IF($N35="","",INDEX(DUERP!$L:$L,$N35))</f>
        <v/>
      </c>
      <c r="G35" s="18" t="str">
        <f aca="false">IF($N35="","",INDEX(DUERP!$M:$M,$N35))</f>
        <v/>
      </c>
      <c r="H35" s="15" t="str">
        <f aca="false">IF($N35="","",INDEX(DUERP!$P:$P,$N35))</f>
        <v/>
      </c>
      <c r="I35" s="15" t="str">
        <f aca="false">IF($N35="","",INDEX(DUERP!$Q:$Q,$N35))</f>
        <v/>
      </c>
      <c r="J35" s="15" t="str">
        <f aca="false">IF($N35="","",INDEX(DUERP!$R:$R,$N35))</f>
        <v/>
      </c>
      <c r="K35" s="22"/>
      <c r="L35" s="17"/>
      <c r="N35" s="0" t="str">
        <f aca="false">IFERROR(_xlfn.AGGREGATE(15,6,ROW(DUERP!$T$3:$T$202)/(DUERP!$T$3:$T$202&gt;=9),ROWS($N$4:$N35)),"")</f>
        <v/>
      </c>
    </row>
    <row r="36" customFormat="false" ht="15" hidden="false" customHeight="false" outlineLevel="0" collapsed="false">
      <c r="A36" s="15" t="str">
        <f aca="false">IF($N36="","",INDEX(DUERP!$A:$A,$N36))</f>
        <v/>
      </c>
      <c r="B36" s="15" t="str">
        <f aca="false">IF($N36="","",INDEX(DUERP!$B:$B,$N36))</f>
        <v/>
      </c>
      <c r="C36" s="15" t="str">
        <f aca="false">IF($N36="","",INDEX(DUERP!$C:$C,$N36))</f>
        <v/>
      </c>
      <c r="D36" s="17" t="str">
        <f aca="false">IF($N36="","",INDEX(DUERP!$D:$D,$N36))</f>
        <v/>
      </c>
      <c r="E36" s="18" t="str">
        <f aca="false">IF($N36="","",INDEX(DUERP!$H:$H,$N36))</f>
        <v/>
      </c>
      <c r="F36" s="17" t="str">
        <f aca="false">IF($N36="","",INDEX(DUERP!$L:$L,$N36))</f>
        <v/>
      </c>
      <c r="G36" s="18" t="str">
        <f aca="false">IF($N36="","",INDEX(DUERP!$M:$M,$N36))</f>
        <v/>
      </c>
      <c r="H36" s="15" t="str">
        <f aca="false">IF($N36="","",INDEX(DUERP!$P:$P,$N36))</f>
        <v/>
      </c>
      <c r="I36" s="15" t="str">
        <f aca="false">IF($N36="","",INDEX(DUERP!$Q:$Q,$N36))</f>
        <v/>
      </c>
      <c r="J36" s="15" t="str">
        <f aca="false">IF($N36="","",INDEX(DUERP!$R:$R,$N36))</f>
        <v/>
      </c>
      <c r="K36" s="22"/>
      <c r="L36" s="17"/>
      <c r="N36" s="0" t="str">
        <f aca="false">IFERROR(_xlfn.AGGREGATE(15,6,ROW(DUERP!$T$3:$T$202)/(DUERP!$T$3:$T$202&gt;=9),ROWS($N$4:$N36)),"")</f>
        <v/>
      </c>
    </row>
    <row r="37" customFormat="false" ht="15" hidden="false" customHeight="false" outlineLevel="0" collapsed="false">
      <c r="A37" s="15" t="str">
        <f aca="false">IF($N37="","",INDEX(DUERP!$A:$A,$N37))</f>
        <v/>
      </c>
      <c r="B37" s="15" t="str">
        <f aca="false">IF($N37="","",INDEX(DUERP!$B:$B,$N37))</f>
        <v/>
      </c>
      <c r="C37" s="15" t="str">
        <f aca="false">IF($N37="","",INDEX(DUERP!$C:$C,$N37))</f>
        <v/>
      </c>
      <c r="D37" s="17" t="str">
        <f aca="false">IF($N37="","",INDEX(DUERP!$D:$D,$N37))</f>
        <v/>
      </c>
      <c r="E37" s="18" t="str">
        <f aca="false">IF($N37="","",INDEX(DUERP!$H:$H,$N37))</f>
        <v/>
      </c>
      <c r="F37" s="17" t="str">
        <f aca="false">IF($N37="","",INDEX(DUERP!$L:$L,$N37))</f>
        <v/>
      </c>
      <c r="G37" s="18" t="str">
        <f aca="false">IF($N37="","",INDEX(DUERP!$M:$M,$N37))</f>
        <v/>
      </c>
      <c r="H37" s="15" t="str">
        <f aca="false">IF($N37="","",INDEX(DUERP!$P:$P,$N37))</f>
        <v/>
      </c>
      <c r="I37" s="15" t="str">
        <f aca="false">IF($N37="","",INDEX(DUERP!$Q:$Q,$N37))</f>
        <v/>
      </c>
      <c r="J37" s="15" t="str">
        <f aca="false">IF($N37="","",INDEX(DUERP!$R:$R,$N37))</f>
        <v/>
      </c>
      <c r="K37" s="22"/>
      <c r="L37" s="17"/>
      <c r="N37" s="0" t="str">
        <f aca="false">IFERROR(_xlfn.AGGREGATE(15,6,ROW(DUERP!$T$3:$T$202)/(DUERP!$T$3:$T$202&gt;=9),ROWS($N$4:$N37)),"")</f>
        <v/>
      </c>
    </row>
    <row r="38" customFormat="false" ht="15" hidden="false" customHeight="false" outlineLevel="0" collapsed="false">
      <c r="A38" s="15" t="str">
        <f aca="false">IF($N38="","",INDEX(DUERP!$A:$A,$N38))</f>
        <v/>
      </c>
      <c r="B38" s="15" t="str">
        <f aca="false">IF($N38="","",INDEX(DUERP!$B:$B,$N38))</f>
        <v/>
      </c>
      <c r="C38" s="15" t="str">
        <f aca="false">IF($N38="","",INDEX(DUERP!$C:$C,$N38))</f>
        <v/>
      </c>
      <c r="D38" s="17" t="str">
        <f aca="false">IF($N38="","",INDEX(DUERP!$D:$D,$N38))</f>
        <v/>
      </c>
      <c r="E38" s="18" t="str">
        <f aca="false">IF($N38="","",INDEX(DUERP!$H:$H,$N38))</f>
        <v/>
      </c>
      <c r="F38" s="17" t="str">
        <f aca="false">IF($N38="","",INDEX(DUERP!$L:$L,$N38))</f>
        <v/>
      </c>
      <c r="G38" s="18" t="str">
        <f aca="false">IF($N38="","",INDEX(DUERP!$M:$M,$N38))</f>
        <v/>
      </c>
      <c r="H38" s="15" t="str">
        <f aca="false">IF($N38="","",INDEX(DUERP!$P:$P,$N38))</f>
        <v/>
      </c>
      <c r="I38" s="15" t="str">
        <f aca="false">IF($N38="","",INDEX(DUERP!$Q:$Q,$N38))</f>
        <v/>
      </c>
      <c r="J38" s="15" t="str">
        <f aca="false">IF($N38="","",INDEX(DUERP!$R:$R,$N38))</f>
        <v/>
      </c>
      <c r="K38" s="22"/>
      <c r="L38" s="17"/>
      <c r="N38" s="0" t="str">
        <f aca="false">IFERROR(_xlfn.AGGREGATE(15,6,ROW(DUERP!$T$3:$T$202)/(DUERP!$T$3:$T$202&gt;=9),ROWS($N$4:$N38)),"")</f>
        <v/>
      </c>
    </row>
    <row r="39" customFormat="false" ht="15" hidden="false" customHeight="false" outlineLevel="0" collapsed="false">
      <c r="A39" s="15" t="str">
        <f aca="false">IF($N39="","",INDEX(DUERP!$A:$A,$N39))</f>
        <v/>
      </c>
      <c r="B39" s="15" t="str">
        <f aca="false">IF($N39="","",INDEX(DUERP!$B:$B,$N39))</f>
        <v/>
      </c>
      <c r="C39" s="15" t="str">
        <f aca="false">IF($N39="","",INDEX(DUERP!$C:$C,$N39))</f>
        <v/>
      </c>
      <c r="D39" s="17" t="str">
        <f aca="false">IF($N39="","",INDEX(DUERP!$D:$D,$N39))</f>
        <v/>
      </c>
      <c r="E39" s="18" t="str">
        <f aca="false">IF($N39="","",INDEX(DUERP!$H:$H,$N39))</f>
        <v/>
      </c>
      <c r="F39" s="17" t="str">
        <f aca="false">IF($N39="","",INDEX(DUERP!$L:$L,$N39))</f>
        <v/>
      </c>
      <c r="G39" s="18" t="str">
        <f aca="false">IF($N39="","",INDEX(DUERP!$M:$M,$N39))</f>
        <v/>
      </c>
      <c r="H39" s="15" t="str">
        <f aca="false">IF($N39="","",INDEX(DUERP!$P:$P,$N39))</f>
        <v/>
      </c>
      <c r="I39" s="15" t="str">
        <f aca="false">IF($N39="","",INDEX(DUERP!$Q:$Q,$N39))</f>
        <v/>
      </c>
      <c r="J39" s="15" t="str">
        <f aca="false">IF($N39="","",INDEX(DUERP!$R:$R,$N39))</f>
        <v/>
      </c>
      <c r="K39" s="22"/>
      <c r="L39" s="17"/>
      <c r="N39" s="0" t="str">
        <f aca="false">IFERROR(_xlfn.AGGREGATE(15,6,ROW(DUERP!$T$3:$T$202)/(DUERP!$T$3:$T$202&gt;=9),ROWS($N$4:$N39)),"")</f>
        <v/>
      </c>
    </row>
    <row r="40" customFormat="false" ht="15" hidden="false" customHeight="false" outlineLevel="0" collapsed="false">
      <c r="A40" s="15" t="str">
        <f aca="false">IF($N40="","",INDEX(DUERP!$A:$A,$N40))</f>
        <v/>
      </c>
      <c r="B40" s="15" t="str">
        <f aca="false">IF($N40="","",INDEX(DUERP!$B:$B,$N40))</f>
        <v/>
      </c>
      <c r="C40" s="15" t="str">
        <f aca="false">IF($N40="","",INDEX(DUERP!$C:$C,$N40))</f>
        <v/>
      </c>
      <c r="D40" s="17" t="str">
        <f aca="false">IF($N40="","",INDEX(DUERP!$D:$D,$N40))</f>
        <v/>
      </c>
      <c r="E40" s="18" t="str">
        <f aca="false">IF($N40="","",INDEX(DUERP!$H:$H,$N40))</f>
        <v/>
      </c>
      <c r="F40" s="17" t="str">
        <f aca="false">IF($N40="","",INDEX(DUERP!$L:$L,$N40))</f>
        <v/>
      </c>
      <c r="G40" s="18" t="str">
        <f aca="false">IF($N40="","",INDEX(DUERP!$M:$M,$N40))</f>
        <v/>
      </c>
      <c r="H40" s="15" t="str">
        <f aca="false">IF($N40="","",INDEX(DUERP!$P:$P,$N40))</f>
        <v/>
      </c>
      <c r="I40" s="15" t="str">
        <f aca="false">IF($N40="","",INDEX(DUERP!$Q:$Q,$N40))</f>
        <v/>
      </c>
      <c r="J40" s="15" t="str">
        <f aca="false">IF($N40="","",INDEX(DUERP!$R:$R,$N40))</f>
        <v/>
      </c>
      <c r="K40" s="22"/>
      <c r="L40" s="17"/>
      <c r="N40" s="0" t="str">
        <f aca="false">IFERROR(_xlfn.AGGREGATE(15,6,ROW(DUERP!$T$3:$T$202)/(DUERP!$T$3:$T$202&gt;=9),ROWS($N$4:$N40)),"")</f>
        <v/>
      </c>
    </row>
    <row r="41" customFormat="false" ht="15" hidden="false" customHeight="false" outlineLevel="0" collapsed="false">
      <c r="A41" s="15" t="str">
        <f aca="false">IF($N41="","",INDEX(DUERP!$A:$A,$N41))</f>
        <v/>
      </c>
      <c r="B41" s="15" t="str">
        <f aca="false">IF($N41="","",INDEX(DUERP!$B:$B,$N41))</f>
        <v/>
      </c>
      <c r="C41" s="15" t="str">
        <f aca="false">IF($N41="","",INDEX(DUERP!$C:$C,$N41))</f>
        <v/>
      </c>
      <c r="D41" s="17" t="str">
        <f aca="false">IF($N41="","",INDEX(DUERP!$D:$D,$N41))</f>
        <v/>
      </c>
      <c r="E41" s="18" t="str">
        <f aca="false">IF($N41="","",INDEX(DUERP!$H:$H,$N41))</f>
        <v/>
      </c>
      <c r="F41" s="17" t="str">
        <f aca="false">IF($N41="","",INDEX(DUERP!$L:$L,$N41))</f>
        <v/>
      </c>
      <c r="G41" s="18" t="str">
        <f aca="false">IF($N41="","",INDEX(DUERP!$M:$M,$N41))</f>
        <v/>
      </c>
      <c r="H41" s="15" t="str">
        <f aca="false">IF($N41="","",INDEX(DUERP!$P:$P,$N41))</f>
        <v/>
      </c>
      <c r="I41" s="15" t="str">
        <f aca="false">IF($N41="","",INDEX(DUERP!$Q:$Q,$N41))</f>
        <v/>
      </c>
      <c r="J41" s="15" t="str">
        <f aca="false">IF($N41="","",INDEX(DUERP!$R:$R,$N41))</f>
        <v/>
      </c>
      <c r="K41" s="22"/>
      <c r="L41" s="17"/>
      <c r="N41" s="0" t="str">
        <f aca="false">IFERROR(_xlfn.AGGREGATE(15,6,ROW(DUERP!$T$3:$T$202)/(DUERP!$T$3:$T$202&gt;=9),ROWS($N$4:$N41)),"")</f>
        <v/>
      </c>
    </row>
    <row r="42" customFormat="false" ht="15" hidden="false" customHeight="false" outlineLevel="0" collapsed="false">
      <c r="A42" s="15" t="str">
        <f aca="false">IF($N42="","",INDEX(DUERP!$A:$A,$N42))</f>
        <v/>
      </c>
      <c r="B42" s="15" t="str">
        <f aca="false">IF($N42="","",INDEX(DUERP!$B:$B,$N42))</f>
        <v/>
      </c>
      <c r="C42" s="15" t="str">
        <f aca="false">IF($N42="","",INDEX(DUERP!$C:$C,$N42))</f>
        <v/>
      </c>
      <c r="D42" s="17" t="str">
        <f aca="false">IF($N42="","",INDEX(DUERP!$D:$D,$N42))</f>
        <v/>
      </c>
      <c r="E42" s="18" t="str">
        <f aca="false">IF($N42="","",INDEX(DUERP!$H:$H,$N42))</f>
        <v/>
      </c>
      <c r="F42" s="17" t="str">
        <f aca="false">IF($N42="","",INDEX(DUERP!$L:$L,$N42))</f>
        <v/>
      </c>
      <c r="G42" s="18" t="str">
        <f aca="false">IF($N42="","",INDEX(DUERP!$M:$M,$N42))</f>
        <v/>
      </c>
      <c r="H42" s="15" t="str">
        <f aca="false">IF($N42="","",INDEX(DUERP!$P:$P,$N42))</f>
        <v/>
      </c>
      <c r="I42" s="15" t="str">
        <f aca="false">IF($N42="","",INDEX(DUERP!$Q:$Q,$N42))</f>
        <v/>
      </c>
      <c r="J42" s="15" t="str">
        <f aca="false">IF($N42="","",INDEX(DUERP!$R:$R,$N42))</f>
        <v/>
      </c>
      <c r="K42" s="22"/>
      <c r="L42" s="17"/>
      <c r="N42" s="0" t="str">
        <f aca="false">IFERROR(_xlfn.AGGREGATE(15,6,ROW(DUERP!$T$3:$T$202)/(DUERP!$T$3:$T$202&gt;=9),ROWS($N$4:$N42)),"")</f>
        <v/>
      </c>
    </row>
    <row r="43" customFormat="false" ht="15" hidden="false" customHeight="false" outlineLevel="0" collapsed="false">
      <c r="A43" s="15" t="str">
        <f aca="false">IF($N43="","",INDEX(DUERP!$A:$A,$N43))</f>
        <v/>
      </c>
      <c r="B43" s="15" t="str">
        <f aca="false">IF($N43="","",INDEX(DUERP!$B:$B,$N43))</f>
        <v/>
      </c>
      <c r="C43" s="15" t="str">
        <f aca="false">IF($N43="","",INDEX(DUERP!$C:$C,$N43))</f>
        <v/>
      </c>
      <c r="D43" s="17" t="str">
        <f aca="false">IF($N43="","",INDEX(DUERP!$D:$D,$N43))</f>
        <v/>
      </c>
      <c r="E43" s="18" t="str">
        <f aca="false">IF($N43="","",INDEX(DUERP!$H:$H,$N43))</f>
        <v/>
      </c>
      <c r="F43" s="17" t="str">
        <f aca="false">IF($N43="","",INDEX(DUERP!$L:$L,$N43))</f>
        <v/>
      </c>
      <c r="G43" s="18" t="str">
        <f aca="false">IF($N43="","",INDEX(DUERP!$M:$M,$N43))</f>
        <v/>
      </c>
      <c r="H43" s="15" t="str">
        <f aca="false">IF($N43="","",INDEX(DUERP!$P:$P,$N43))</f>
        <v/>
      </c>
      <c r="I43" s="15" t="str">
        <f aca="false">IF($N43="","",INDEX(DUERP!$Q:$Q,$N43))</f>
        <v/>
      </c>
      <c r="J43" s="15" t="str">
        <f aca="false">IF($N43="","",INDEX(DUERP!$R:$R,$N43))</f>
        <v/>
      </c>
      <c r="K43" s="22"/>
      <c r="L43" s="17"/>
      <c r="N43" s="0" t="str">
        <f aca="false">IFERROR(_xlfn.AGGREGATE(15,6,ROW(DUERP!$T$3:$T$202)/(DUERP!$T$3:$T$202&gt;=9),ROWS($N$4:$N43)),"")</f>
        <v/>
      </c>
    </row>
    <row r="44" customFormat="false" ht="15" hidden="false" customHeight="false" outlineLevel="0" collapsed="false">
      <c r="A44" s="15" t="str">
        <f aca="false">IF($N44="","",INDEX(DUERP!$A:$A,$N44))</f>
        <v/>
      </c>
      <c r="B44" s="15" t="str">
        <f aca="false">IF($N44="","",INDEX(DUERP!$B:$B,$N44))</f>
        <v/>
      </c>
      <c r="C44" s="15" t="str">
        <f aca="false">IF($N44="","",INDEX(DUERP!$C:$C,$N44))</f>
        <v/>
      </c>
      <c r="D44" s="17" t="str">
        <f aca="false">IF($N44="","",INDEX(DUERP!$D:$D,$N44))</f>
        <v/>
      </c>
      <c r="E44" s="18" t="str">
        <f aca="false">IF($N44="","",INDEX(DUERP!$H:$H,$N44))</f>
        <v/>
      </c>
      <c r="F44" s="17" t="str">
        <f aca="false">IF($N44="","",INDEX(DUERP!$L:$L,$N44))</f>
        <v/>
      </c>
      <c r="G44" s="18" t="str">
        <f aca="false">IF($N44="","",INDEX(DUERP!$M:$M,$N44))</f>
        <v/>
      </c>
      <c r="H44" s="15" t="str">
        <f aca="false">IF($N44="","",INDEX(DUERP!$P:$P,$N44))</f>
        <v/>
      </c>
      <c r="I44" s="15" t="str">
        <f aca="false">IF($N44="","",INDEX(DUERP!$Q:$Q,$N44))</f>
        <v/>
      </c>
      <c r="J44" s="15" t="str">
        <f aca="false">IF($N44="","",INDEX(DUERP!$R:$R,$N44))</f>
        <v/>
      </c>
      <c r="K44" s="22"/>
      <c r="L44" s="17"/>
      <c r="N44" s="0" t="str">
        <f aca="false">IFERROR(_xlfn.AGGREGATE(15,6,ROW(DUERP!$T$3:$T$202)/(DUERP!$T$3:$T$202&gt;=9),ROWS($N$4:$N44)),"")</f>
        <v/>
      </c>
    </row>
    <row r="45" customFormat="false" ht="15" hidden="false" customHeight="false" outlineLevel="0" collapsed="false">
      <c r="A45" s="15" t="str">
        <f aca="false">IF($N45="","",INDEX(DUERP!$A:$A,$N45))</f>
        <v/>
      </c>
      <c r="B45" s="15" t="str">
        <f aca="false">IF($N45="","",INDEX(DUERP!$B:$B,$N45))</f>
        <v/>
      </c>
      <c r="C45" s="15" t="str">
        <f aca="false">IF($N45="","",INDEX(DUERP!$C:$C,$N45))</f>
        <v/>
      </c>
      <c r="D45" s="17" t="str">
        <f aca="false">IF($N45="","",INDEX(DUERP!$D:$D,$N45))</f>
        <v/>
      </c>
      <c r="E45" s="18" t="str">
        <f aca="false">IF($N45="","",INDEX(DUERP!$H:$H,$N45))</f>
        <v/>
      </c>
      <c r="F45" s="17" t="str">
        <f aca="false">IF($N45="","",INDEX(DUERP!$L:$L,$N45))</f>
        <v/>
      </c>
      <c r="G45" s="18" t="str">
        <f aca="false">IF($N45="","",INDEX(DUERP!$M:$M,$N45))</f>
        <v/>
      </c>
      <c r="H45" s="15" t="str">
        <f aca="false">IF($N45="","",INDEX(DUERP!$P:$P,$N45))</f>
        <v/>
      </c>
      <c r="I45" s="15" t="str">
        <f aca="false">IF($N45="","",INDEX(DUERP!$Q:$Q,$N45))</f>
        <v/>
      </c>
      <c r="J45" s="15" t="str">
        <f aca="false">IF($N45="","",INDEX(DUERP!$R:$R,$N45))</f>
        <v/>
      </c>
      <c r="K45" s="22"/>
      <c r="L45" s="17"/>
      <c r="N45" s="0" t="str">
        <f aca="false">IFERROR(_xlfn.AGGREGATE(15,6,ROW(DUERP!$T$3:$T$202)/(DUERP!$T$3:$T$202&gt;=9),ROWS($N$4:$N45)),"")</f>
        <v/>
      </c>
    </row>
    <row r="46" customFormat="false" ht="15" hidden="false" customHeight="false" outlineLevel="0" collapsed="false">
      <c r="A46" s="15" t="str">
        <f aca="false">IF($N46="","",INDEX(DUERP!$A:$A,$N46))</f>
        <v/>
      </c>
      <c r="B46" s="15" t="str">
        <f aca="false">IF($N46="","",INDEX(DUERP!$B:$B,$N46))</f>
        <v/>
      </c>
      <c r="C46" s="15" t="str">
        <f aca="false">IF($N46="","",INDEX(DUERP!$C:$C,$N46))</f>
        <v/>
      </c>
      <c r="D46" s="17" t="str">
        <f aca="false">IF($N46="","",INDEX(DUERP!$D:$D,$N46))</f>
        <v/>
      </c>
      <c r="E46" s="18" t="str">
        <f aca="false">IF($N46="","",INDEX(DUERP!$H:$H,$N46))</f>
        <v/>
      </c>
      <c r="F46" s="17" t="str">
        <f aca="false">IF($N46="","",INDEX(DUERP!$L:$L,$N46))</f>
        <v/>
      </c>
      <c r="G46" s="18" t="str">
        <f aca="false">IF($N46="","",INDEX(DUERP!$M:$M,$N46))</f>
        <v/>
      </c>
      <c r="H46" s="15" t="str">
        <f aca="false">IF($N46="","",INDEX(DUERP!$P:$P,$N46))</f>
        <v/>
      </c>
      <c r="I46" s="15" t="str">
        <f aca="false">IF($N46="","",INDEX(DUERP!$Q:$Q,$N46))</f>
        <v/>
      </c>
      <c r="J46" s="15" t="str">
        <f aca="false">IF($N46="","",INDEX(DUERP!$R:$R,$N46))</f>
        <v/>
      </c>
      <c r="K46" s="22"/>
      <c r="L46" s="17"/>
      <c r="N46" s="0" t="str">
        <f aca="false">IFERROR(_xlfn.AGGREGATE(15,6,ROW(DUERP!$T$3:$T$202)/(DUERP!$T$3:$T$202&gt;=9),ROWS($N$4:$N46)),"")</f>
        <v/>
      </c>
    </row>
    <row r="47" customFormat="false" ht="15" hidden="false" customHeight="false" outlineLevel="0" collapsed="false">
      <c r="A47" s="15" t="str">
        <f aca="false">IF($N47="","",INDEX(DUERP!$A:$A,$N47))</f>
        <v/>
      </c>
      <c r="B47" s="15" t="str">
        <f aca="false">IF($N47="","",INDEX(DUERP!$B:$B,$N47))</f>
        <v/>
      </c>
      <c r="C47" s="15" t="str">
        <f aca="false">IF($N47="","",INDEX(DUERP!$C:$C,$N47))</f>
        <v/>
      </c>
      <c r="D47" s="17" t="str">
        <f aca="false">IF($N47="","",INDEX(DUERP!$D:$D,$N47))</f>
        <v/>
      </c>
      <c r="E47" s="18" t="str">
        <f aca="false">IF($N47="","",INDEX(DUERP!$H:$H,$N47))</f>
        <v/>
      </c>
      <c r="F47" s="17" t="str">
        <f aca="false">IF($N47="","",INDEX(DUERP!$L:$L,$N47))</f>
        <v/>
      </c>
      <c r="G47" s="18" t="str">
        <f aca="false">IF($N47="","",INDEX(DUERP!$M:$M,$N47))</f>
        <v/>
      </c>
      <c r="H47" s="15" t="str">
        <f aca="false">IF($N47="","",INDEX(DUERP!$P:$P,$N47))</f>
        <v/>
      </c>
      <c r="I47" s="15" t="str">
        <f aca="false">IF($N47="","",INDEX(DUERP!$Q:$Q,$N47))</f>
        <v/>
      </c>
      <c r="J47" s="15" t="str">
        <f aca="false">IF($N47="","",INDEX(DUERP!$R:$R,$N47))</f>
        <v/>
      </c>
      <c r="K47" s="22"/>
      <c r="L47" s="17"/>
      <c r="N47" s="0" t="str">
        <f aca="false">IFERROR(_xlfn.AGGREGATE(15,6,ROW(DUERP!$T$3:$T$202)/(DUERP!$T$3:$T$202&gt;=9),ROWS($N$4:$N47)),"")</f>
        <v/>
      </c>
    </row>
    <row r="48" customFormat="false" ht="15" hidden="false" customHeight="false" outlineLevel="0" collapsed="false">
      <c r="A48" s="15" t="str">
        <f aca="false">IF($N48="","",INDEX(DUERP!$A:$A,$N48))</f>
        <v/>
      </c>
      <c r="B48" s="15" t="str">
        <f aca="false">IF($N48="","",INDEX(DUERP!$B:$B,$N48))</f>
        <v/>
      </c>
      <c r="C48" s="15" t="str">
        <f aca="false">IF($N48="","",INDEX(DUERP!$C:$C,$N48))</f>
        <v/>
      </c>
      <c r="D48" s="17" t="str">
        <f aca="false">IF($N48="","",INDEX(DUERP!$D:$D,$N48))</f>
        <v/>
      </c>
      <c r="E48" s="18" t="str">
        <f aca="false">IF($N48="","",INDEX(DUERP!$H:$H,$N48))</f>
        <v/>
      </c>
      <c r="F48" s="17" t="str">
        <f aca="false">IF($N48="","",INDEX(DUERP!$L:$L,$N48))</f>
        <v/>
      </c>
      <c r="G48" s="18" t="str">
        <f aca="false">IF($N48="","",INDEX(DUERP!$M:$M,$N48))</f>
        <v/>
      </c>
      <c r="H48" s="15" t="str">
        <f aca="false">IF($N48="","",INDEX(DUERP!$P:$P,$N48))</f>
        <v/>
      </c>
      <c r="I48" s="15" t="str">
        <f aca="false">IF($N48="","",INDEX(DUERP!$Q:$Q,$N48))</f>
        <v/>
      </c>
      <c r="J48" s="15" t="str">
        <f aca="false">IF($N48="","",INDEX(DUERP!$R:$R,$N48))</f>
        <v/>
      </c>
      <c r="K48" s="22"/>
      <c r="L48" s="17"/>
      <c r="N48" s="0" t="str">
        <f aca="false">IFERROR(_xlfn.AGGREGATE(15,6,ROW(DUERP!$T$3:$T$202)/(DUERP!$T$3:$T$202&gt;=9),ROWS($N$4:$N48)),"")</f>
        <v/>
      </c>
    </row>
    <row r="49" customFormat="false" ht="15" hidden="false" customHeight="false" outlineLevel="0" collapsed="false">
      <c r="A49" s="15" t="str">
        <f aca="false">IF($N49="","",INDEX(DUERP!$A:$A,$N49))</f>
        <v/>
      </c>
      <c r="B49" s="15" t="str">
        <f aca="false">IF($N49="","",INDEX(DUERP!$B:$B,$N49))</f>
        <v/>
      </c>
      <c r="C49" s="15" t="str">
        <f aca="false">IF($N49="","",INDEX(DUERP!$C:$C,$N49))</f>
        <v/>
      </c>
      <c r="D49" s="17" t="str">
        <f aca="false">IF($N49="","",INDEX(DUERP!$D:$D,$N49))</f>
        <v/>
      </c>
      <c r="E49" s="18" t="str">
        <f aca="false">IF($N49="","",INDEX(DUERP!$H:$H,$N49))</f>
        <v/>
      </c>
      <c r="F49" s="17" t="str">
        <f aca="false">IF($N49="","",INDEX(DUERP!$L:$L,$N49))</f>
        <v/>
      </c>
      <c r="G49" s="18" t="str">
        <f aca="false">IF($N49="","",INDEX(DUERP!$M:$M,$N49))</f>
        <v/>
      </c>
      <c r="H49" s="15" t="str">
        <f aca="false">IF($N49="","",INDEX(DUERP!$P:$P,$N49))</f>
        <v/>
      </c>
      <c r="I49" s="15" t="str">
        <f aca="false">IF($N49="","",INDEX(DUERP!$Q:$Q,$N49))</f>
        <v/>
      </c>
      <c r="J49" s="15" t="str">
        <f aca="false">IF($N49="","",INDEX(DUERP!$R:$R,$N49))</f>
        <v/>
      </c>
      <c r="K49" s="22"/>
      <c r="L49" s="17"/>
      <c r="N49" s="0" t="str">
        <f aca="false">IFERROR(_xlfn.AGGREGATE(15,6,ROW(DUERP!$T$3:$T$202)/(DUERP!$T$3:$T$202&gt;=9),ROWS($N$4:$N49)),"")</f>
        <v/>
      </c>
    </row>
    <row r="50" customFormat="false" ht="15" hidden="false" customHeight="false" outlineLevel="0" collapsed="false">
      <c r="A50" s="15" t="str">
        <f aca="false">IF($N50="","",INDEX(DUERP!$A:$A,$N50))</f>
        <v/>
      </c>
      <c r="B50" s="15" t="str">
        <f aca="false">IF($N50="","",INDEX(DUERP!$B:$B,$N50))</f>
        <v/>
      </c>
      <c r="C50" s="15" t="str">
        <f aca="false">IF($N50="","",INDEX(DUERP!$C:$C,$N50))</f>
        <v/>
      </c>
      <c r="D50" s="17" t="str">
        <f aca="false">IF($N50="","",INDEX(DUERP!$D:$D,$N50))</f>
        <v/>
      </c>
      <c r="E50" s="18" t="str">
        <f aca="false">IF($N50="","",INDEX(DUERP!$H:$H,$N50))</f>
        <v/>
      </c>
      <c r="F50" s="17" t="str">
        <f aca="false">IF($N50="","",INDEX(DUERP!$L:$L,$N50))</f>
        <v/>
      </c>
      <c r="G50" s="18" t="str">
        <f aca="false">IF($N50="","",INDEX(DUERP!$M:$M,$N50))</f>
        <v/>
      </c>
      <c r="H50" s="15" t="str">
        <f aca="false">IF($N50="","",INDEX(DUERP!$P:$P,$N50))</f>
        <v/>
      </c>
      <c r="I50" s="15" t="str">
        <f aca="false">IF($N50="","",INDEX(DUERP!$Q:$Q,$N50))</f>
        <v/>
      </c>
      <c r="J50" s="15" t="str">
        <f aca="false">IF($N50="","",INDEX(DUERP!$R:$R,$N50))</f>
        <v/>
      </c>
      <c r="K50" s="22"/>
      <c r="L50" s="17"/>
      <c r="N50" s="0" t="str">
        <f aca="false">IFERROR(_xlfn.AGGREGATE(15,6,ROW(DUERP!$T$3:$T$202)/(DUERP!$T$3:$T$202&gt;=9),ROWS($N$4:$N50)),"")</f>
        <v/>
      </c>
    </row>
    <row r="51" customFormat="false" ht="15" hidden="false" customHeight="false" outlineLevel="0" collapsed="false">
      <c r="A51" s="15" t="str">
        <f aca="false">IF($N51="","",INDEX(DUERP!$A:$A,$N51))</f>
        <v/>
      </c>
      <c r="B51" s="15" t="str">
        <f aca="false">IF($N51="","",INDEX(DUERP!$B:$B,$N51))</f>
        <v/>
      </c>
      <c r="C51" s="15" t="str">
        <f aca="false">IF($N51="","",INDEX(DUERP!$C:$C,$N51))</f>
        <v/>
      </c>
      <c r="D51" s="17" t="str">
        <f aca="false">IF($N51="","",INDEX(DUERP!$D:$D,$N51))</f>
        <v/>
      </c>
      <c r="E51" s="18" t="str">
        <f aca="false">IF($N51="","",INDEX(DUERP!$H:$H,$N51))</f>
        <v/>
      </c>
      <c r="F51" s="17" t="str">
        <f aca="false">IF($N51="","",INDEX(DUERP!$L:$L,$N51))</f>
        <v/>
      </c>
      <c r="G51" s="18" t="str">
        <f aca="false">IF($N51="","",INDEX(DUERP!$M:$M,$N51))</f>
        <v/>
      </c>
      <c r="H51" s="15" t="str">
        <f aca="false">IF($N51="","",INDEX(DUERP!$P:$P,$N51))</f>
        <v/>
      </c>
      <c r="I51" s="15" t="str">
        <f aca="false">IF($N51="","",INDEX(DUERP!$Q:$Q,$N51))</f>
        <v/>
      </c>
      <c r="J51" s="15" t="str">
        <f aca="false">IF($N51="","",INDEX(DUERP!$R:$R,$N51))</f>
        <v/>
      </c>
      <c r="K51" s="22"/>
      <c r="L51" s="17"/>
      <c r="N51" s="0" t="str">
        <f aca="false">IFERROR(_xlfn.AGGREGATE(15,6,ROW(DUERP!$T$3:$T$202)/(DUERP!$T$3:$T$202&gt;=9),ROWS($N$4:$N51)),"")</f>
        <v/>
      </c>
    </row>
    <row r="52" customFormat="false" ht="15" hidden="false" customHeight="false" outlineLevel="0" collapsed="false">
      <c r="A52" s="15" t="str">
        <f aca="false">IF($N52="","",INDEX(DUERP!$A:$A,$N52))</f>
        <v/>
      </c>
      <c r="B52" s="15" t="str">
        <f aca="false">IF($N52="","",INDEX(DUERP!$B:$B,$N52))</f>
        <v/>
      </c>
      <c r="C52" s="15" t="str">
        <f aca="false">IF($N52="","",INDEX(DUERP!$C:$C,$N52))</f>
        <v/>
      </c>
      <c r="D52" s="17" t="str">
        <f aca="false">IF($N52="","",INDEX(DUERP!$D:$D,$N52))</f>
        <v/>
      </c>
      <c r="E52" s="18" t="str">
        <f aca="false">IF($N52="","",INDEX(DUERP!$H:$H,$N52))</f>
        <v/>
      </c>
      <c r="F52" s="17" t="str">
        <f aca="false">IF($N52="","",INDEX(DUERP!$L:$L,$N52))</f>
        <v/>
      </c>
      <c r="G52" s="18" t="str">
        <f aca="false">IF($N52="","",INDEX(DUERP!$M:$M,$N52))</f>
        <v/>
      </c>
      <c r="H52" s="15" t="str">
        <f aca="false">IF($N52="","",INDEX(DUERP!$P:$P,$N52))</f>
        <v/>
      </c>
      <c r="I52" s="15" t="str">
        <f aca="false">IF($N52="","",INDEX(DUERP!$Q:$Q,$N52))</f>
        <v/>
      </c>
      <c r="J52" s="15" t="str">
        <f aca="false">IF($N52="","",INDEX(DUERP!$R:$R,$N52))</f>
        <v/>
      </c>
      <c r="K52" s="22"/>
      <c r="L52" s="17"/>
      <c r="N52" s="0" t="str">
        <f aca="false">IFERROR(_xlfn.AGGREGATE(15,6,ROW(DUERP!$T$3:$T$202)/(DUERP!$T$3:$T$202&gt;=9),ROWS($N$4:$N52)),"")</f>
        <v/>
      </c>
    </row>
    <row r="53" customFormat="false" ht="15" hidden="false" customHeight="false" outlineLevel="0" collapsed="false">
      <c r="A53" s="15" t="str">
        <f aca="false">IF($N53="","",INDEX(DUERP!$A:$A,$N53))</f>
        <v/>
      </c>
      <c r="B53" s="15" t="str">
        <f aca="false">IF($N53="","",INDEX(DUERP!$B:$B,$N53))</f>
        <v/>
      </c>
      <c r="C53" s="15" t="str">
        <f aca="false">IF($N53="","",INDEX(DUERP!$C:$C,$N53))</f>
        <v/>
      </c>
      <c r="D53" s="17" t="str">
        <f aca="false">IF($N53="","",INDEX(DUERP!$D:$D,$N53))</f>
        <v/>
      </c>
      <c r="E53" s="18" t="str">
        <f aca="false">IF($N53="","",INDEX(DUERP!$H:$H,$N53))</f>
        <v/>
      </c>
      <c r="F53" s="17" t="str">
        <f aca="false">IF($N53="","",INDEX(DUERP!$L:$L,$N53))</f>
        <v/>
      </c>
      <c r="G53" s="18" t="str">
        <f aca="false">IF($N53="","",INDEX(DUERP!$M:$M,$N53))</f>
        <v/>
      </c>
      <c r="H53" s="15" t="str">
        <f aca="false">IF($N53="","",INDEX(DUERP!$P:$P,$N53))</f>
        <v/>
      </c>
      <c r="I53" s="15" t="str">
        <f aca="false">IF($N53="","",INDEX(DUERP!$Q:$Q,$N53))</f>
        <v/>
      </c>
      <c r="J53" s="15" t="str">
        <f aca="false">IF($N53="","",INDEX(DUERP!$R:$R,$N53))</f>
        <v/>
      </c>
      <c r="K53" s="22"/>
      <c r="L53" s="17"/>
      <c r="N53" s="0" t="str">
        <f aca="false">IFERROR(_xlfn.AGGREGATE(15,6,ROW(DUERP!$T$3:$T$202)/(DUERP!$T$3:$T$202&gt;=9),ROWS($N$4:$N53)),"")</f>
        <v/>
      </c>
    </row>
    <row r="54" customFormat="false" ht="15" hidden="false" customHeight="false" outlineLevel="0" collapsed="false">
      <c r="A54" s="15" t="str">
        <f aca="false">IF($N54="","",INDEX(DUERP!$A:$A,$N54))</f>
        <v/>
      </c>
      <c r="B54" s="15" t="str">
        <f aca="false">IF($N54="","",INDEX(DUERP!$B:$B,$N54))</f>
        <v/>
      </c>
      <c r="C54" s="15" t="str">
        <f aca="false">IF($N54="","",INDEX(DUERP!$C:$C,$N54))</f>
        <v/>
      </c>
      <c r="D54" s="17" t="str">
        <f aca="false">IF($N54="","",INDEX(DUERP!$D:$D,$N54))</f>
        <v/>
      </c>
      <c r="E54" s="18" t="str">
        <f aca="false">IF($N54="","",INDEX(DUERP!$H:$H,$N54))</f>
        <v/>
      </c>
      <c r="F54" s="17" t="str">
        <f aca="false">IF($N54="","",INDEX(DUERP!$L:$L,$N54))</f>
        <v/>
      </c>
      <c r="G54" s="18" t="str">
        <f aca="false">IF($N54="","",INDEX(DUERP!$M:$M,$N54))</f>
        <v/>
      </c>
      <c r="H54" s="15" t="str">
        <f aca="false">IF($N54="","",INDEX(DUERP!$P:$P,$N54))</f>
        <v/>
      </c>
      <c r="I54" s="15" t="str">
        <f aca="false">IF($N54="","",INDEX(DUERP!$Q:$Q,$N54))</f>
        <v/>
      </c>
      <c r="J54" s="15" t="str">
        <f aca="false">IF($N54="","",INDEX(DUERP!$R:$R,$N54))</f>
        <v/>
      </c>
      <c r="K54" s="22"/>
      <c r="L54" s="17"/>
      <c r="N54" s="0" t="str">
        <f aca="false">IFERROR(_xlfn.AGGREGATE(15,6,ROW(DUERP!$T$3:$T$202)/(DUERP!$T$3:$T$202&gt;=9),ROWS($N$4:$N54)),"")</f>
        <v/>
      </c>
    </row>
    <row r="55" customFormat="false" ht="15" hidden="false" customHeight="false" outlineLevel="0" collapsed="false">
      <c r="A55" s="15" t="str">
        <f aca="false">IF($N55="","",INDEX(DUERP!$A:$A,$N55))</f>
        <v/>
      </c>
      <c r="B55" s="15" t="str">
        <f aca="false">IF($N55="","",INDEX(DUERP!$B:$B,$N55))</f>
        <v/>
      </c>
      <c r="C55" s="15" t="str">
        <f aca="false">IF($N55="","",INDEX(DUERP!$C:$C,$N55))</f>
        <v/>
      </c>
      <c r="D55" s="17" t="str">
        <f aca="false">IF($N55="","",INDEX(DUERP!$D:$D,$N55))</f>
        <v/>
      </c>
      <c r="E55" s="18" t="str">
        <f aca="false">IF($N55="","",INDEX(DUERP!$H:$H,$N55))</f>
        <v/>
      </c>
      <c r="F55" s="17" t="str">
        <f aca="false">IF($N55="","",INDEX(DUERP!$L:$L,$N55))</f>
        <v/>
      </c>
      <c r="G55" s="18" t="str">
        <f aca="false">IF($N55="","",INDEX(DUERP!$M:$M,$N55))</f>
        <v/>
      </c>
      <c r="H55" s="15" t="str">
        <f aca="false">IF($N55="","",INDEX(DUERP!$P:$P,$N55))</f>
        <v/>
      </c>
      <c r="I55" s="15" t="str">
        <f aca="false">IF($N55="","",INDEX(DUERP!$Q:$Q,$N55))</f>
        <v/>
      </c>
      <c r="J55" s="15" t="str">
        <f aca="false">IF($N55="","",INDEX(DUERP!$R:$R,$N55))</f>
        <v/>
      </c>
      <c r="K55" s="22"/>
      <c r="L55" s="17"/>
      <c r="N55" s="0" t="str">
        <f aca="false">IFERROR(_xlfn.AGGREGATE(15,6,ROW(DUERP!$T$3:$T$202)/(DUERP!$T$3:$T$202&gt;=9),ROWS($N$4:$N55)),"")</f>
        <v/>
      </c>
    </row>
    <row r="56" customFormat="false" ht="15" hidden="false" customHeight="false" outlineLevel="0" collapsed="false">
      <c r="A56" s="15" t="str">
        <f aca="false">IF($N56="","",INDEX(DUERP!$A:$A,$N56))</f>
        <v/>
      </c>
      <c r="B56" s="15" t="str">
        <f aca="false">IF($N56="","",INDEX(DUERP!$B:$B,$N56))</f>
        <v/>
      </c>
      <c r="C56" s="15" t="str">
        <f aca="false">IF($N56="","",INDEX(DUERP!$C:$C,$N56))</f>
        <v/>
      </c>
      <c r="D56" s="17" t="str">
        <f aca="false">IF($N56="","",INDEX(DUERP!$D:$D,$N56))</f>
        <v/>
      </c>
      <c r="E56" s="18" t="str">
        <f aca="false">IF($N56="","",INDEX(DUERP!$H:$H,$N56))</f>
        <v/>
      </c>
      <c r="F56" s="17" t="str">
        <f aca="false">IF($N56="","",INDEX(DUERP!$L:$L,$N56))</f>
        <v/>
      </c>
      <c r="G56" s="18" t="str">
        <f aca="false">IF($N56="","",INDEX(DUERP!$M:$M,$N56))</f>
        <v/>
      </c>
      <c r="H56" s="15" t="str">
        <f aca="false">IF($N56="","",INDEX(DUERP!$P:$P,$N56))</f>
        <v/>
      </c>
      <c r="I56" s="15" t="str">
        <f aca="false">IF($N56="","",INDEX(DUERP!$Q:$Q,$N56))</f>
        <v/>
      </c>
      <c r="J56" s="15" t="str">
        <f aca="false">IF($N56="","",INDEX(DUERP!$R:$R,$N56))</f>
        <v/>
      </c>
      <c r="K56" s="22"/>
      <c r="L56" s="17"/>
      <c r="N56" s="0" t="str">
        <f aca="false">IFERROR(_xlfn.AGGREGATE(15,6,ROW(DUERP!$T$3:$T$202)/(DUERP!$T$3:$T$202&gt;=9),ROWS($N$4:$N56)),"")</f>
        <v/>
      </c>
    </row>
    <row r="57" customFormat="false" ht="15" hidden="false" customHeight="false" outlineLevel="0" collapsed="false">
      <c r="A57" s="15" t="str">
        <f aca="false">IF($N57="","",INDEX(DUERP!$A:$A,$N57))</f>
        <v/>
      </c>
      <c r="B57" s="15" t="str">
        <f aca="false">IF($N57="","",INDEX(DUERP!$B:$B,$N57))</f>
        <v/>
      </c>
      <c r="C57" s="15" t="str">
        <f aca="false">IF($N57="","",INDEX(DUERP!$C:$C,$N57))</f>
        <v/>
      </c>
      <c r="D57" s="17" t="str">
        <f aca="false">IF($N57="","",INDEX(DUERP!$D:$D,$N57))</f>
        <v/>
      </c>
      <c r="E57" s="18" t="str">
        <f aca="false">IF($N57="","",INDEX(DUERP!$H:$H,$N57))</f>
        <v/>
      </c>
      <c r="F57" s="17" t="str">
        <f aca="false">IF($N57="","",INDEX(DUERP!$L:$L,$N57))</f>
        <v/>
      </c>
      <c r="G57" s="18" t="str">
        <f aca="false">IF($N57="","",INDEX(DUERP!$M:$M,$N57))</f>
        <v/>
      </c>
      <c r="H57" s="15" t="str">
        <f aca="false">IF($N57="","",INDEX(DUERP!$P:$P,$N57))</f>
        <v/>
      </c>
      <c r="I57" s="15" t="str">
        <f aca="false">IF($N57="","",INDEX(DUERP!$Q:$Q,$N57))</f>
        <v/>
      </c>
      <c r="J57" s="15" t="str">
        <f aca="false">IF($N57="","",INDEX(DUERP!$R:$R,$N57))</f>
        <v/>
      </c>
      <c r="K57" s="22"/>
      <c r="L57" s="17"/>
      <c r="N57" s="0" t="str">
        <f aca="false">IFERROR(_xlfn.AGGREGATE(15,6,ROW(DUERP!$T$3:$T$202)/(DUERP!$T$3:$T$202&gt;=9),ROWS($N$4:$N57)),"")</f>
        <v/>
      </c>
    </row>
    <row r="58" customFormat="false" ht="15" hidden="false" customHeight="false" outlineLevel="0" collapsed="false">
      <c r="A58" s="15" t="str">
        <f aca="false">IF($N58="","",INDEX(DUERP!$A:$A,$N58))</f>
        <v/>
      </c>
      <c r="B58" s="15" t="str">
        <f aca="false">IF($N58="","",INDEX(DUERP!$B:$B,$N58))</f>
        <v/>
      </c>
      <c r="C58" s="15" t="str">
        <f aca="false">IF($N58="","",INDEX(DUERP!$C:$C,$N58))</f>
        <v/>
      </c>
      <c r="D58" s="17" t="str">
        <f aca="false">IF($N58="","",INDEX(DUERP!$D:$D,$N58))</f>
        <v/>
      </c>
      <c r="E58" s="18" t="str">
        <f aca="false">IF($N58="","",INDEX(DUERP!$H:$H,$N58))</f>
        <v/>
      </c>
      <c r="F58" s="17" t="str">
        <f aca="false">IF($N58="","",INDEX(DUERP!$L:$L,$N58))</f>
        <v/>
      </c>
      <c r="G58" s="18" t="str">
        <f aca="false">IF($N58="","",INDEX(DUERP!$M:$M,$N58))</f>
        <v/>
      </c>
      <c r="H58" s="15" t="str">
        <f aca="false">IF($N58="","",INDEX(DUERP!$P:$P,$N58))</f>
        <v/>
      </c>
      <c r="I58" s="15" t="str">
        <f aca="false">IF($N58="","",INDEX(DUERP!$Q:$Q,$N58))</f>
        <v/>
      </c>
      <c r="J58" s="15" t="str">
        <f aca="false">IF($N58="","",INDEX(DUERP!$R:$R,$N58))</f>
        <v/>
      </c>
      <c r="K58" s="22"/>
      <c r="L58" s="17"/>
      <c r="N58" s="0" t="str">
        <f aca="false">IFERROR(_xlfn.AGGREGATE(15,6,ROW(DUERP!$T$3:$T$202)/(DUERP!$T$3:$T$202&gt;=9),ROWS($N$4:$N58)),"")</f>
        <v/>
      </c>
    </row>
    <row r="59" customFormat="false" ht="15" hidden="false" customHeight="false" outlineLevel="0" collapsed="false">
      <c r="A59" s="15" t="str">
        <f aca="false">IF($N59="","",INDEX(DUERP!$A:$A,$N59))</f>
        <v/>
      </c>
      <c r="B59" s="15" t="str">
        <f aca="false">IF($N59="","",INDEX(DUERP!$B:$B,$N59))</f>
        <v/>
      </c>
      <c r="C59" s="15" t="str">
        <f aca="false">IF($N59="","",INDEX(DUERP!$C:$C,$N59))</f>
        <v/>
      </c>
      <c r="D59" s="17" t="str">
        <f aca="false">IF($N59="","",INDEX(DUERP!$D:$D,$N59))</f>
        <v/>
      </c>
      <c r="E59" s="18" t="str">
        <f aca="false">IF($N59="","",INDEX(DUERP!$H:$H,$N59))</f>
        <v/>
      </c>
      <c r="F59" s="17" t="str">
        <f aca="false">IF($N59="","",INDEX(DUERP!$L:$L,$N59))</f>
        <v/>
      </c>
      <c r="G59" s="18" t="str">
        <f aca="false">IF($N59="","",INDEX(DUERP!$M:$M,$N59))</f>
        <v/>
      </c>
      <c r="H59" s="15" t="str">
        <f aca="false">IF($N59="","",INDEX(DUERP!$P:$P,$N59))</f>
        <v/>
      </c>
      <c r="I59" s="15" t="str">
        <f aca="false">IF($N59="","",INDEX(DUERP!$Q:$Q,$N59))</f>
        <v/>
      </c>
      <c r="J59" s="15" t="str">
        <f aca="false">IF($N59="","",INDEX(DUERP!$R:$R,$N59))</f>
        <v/>
      </c>
      <c r="K59" s="22"/>
      <c r="L59" s="17"/>
      <c r="N59" s="0" t="str">
        <f aca="false">IFERROR(_xlfn.AGGREGATE(15,6,ROW(DUERP!$T$3:$T$202)/(DUERP!$T$3:$T$202&gt;=9),ROWS($N$4:$N59)),"")</f>
        <v/>
      </c>
    </row>
    <row r="60" customFormat="false" ht="15" hidden="false" customHeight="false" outlineLevel="0" collapsed="false">
      <c r="A60" s="15" t="str">
        <f aca="false">IF($N60="","",INDEX(DUERP!$A:$A,$N60))</f>
        <v/>
      </c>
      <c r="B60" s="15" t="str">
        <f aca="false">IF($N60="","",INDEX(DUERP!$B:$B,$N60))</f>
        <v/>
      </c>
      <c r="C60" s="15" t="str">
        <f aca="false">IF($N60="","",INDEX(DUERP!$C:$C,$N60))</f>
        <v/>
      </c>
      <c r="D60" s="17" t="str">
        <f aca="false">IF($N60="","",INDEX(DUERP!$D:$D,$N60))</f>
        <v/>
      </c>
      <c r="E60" s="18" t="str">
        <f aca="false">IF($N60="","",INDEX(DUERP!$H:$H,$N60))</f>
        <v/>
      </c>
      <c r="F60" s="17" t="str">
        <f aca="false">IF($N60="","",INDEX(DUERP!$L:$L,$N60))</f>
        <v/>
      </c>
      <c r="G60" s="18" t="str">
        <f aca="false">IF($N60="","",INDEX(DUERP!$M:$M,$N60))</f>
        <v/>
      </c>
      <c r="H60" s="15" t="str">
        <f aca="false">IF($N60="","",INDEX(DUERP!$P:$P,$N60))</f>
        <v/>
      </c>
      <c r="I60" s="15" t="str">
        <f aca="false">IF($N60="","",INDEX(DUERP!$Q:$Q,$N60))</f>
        <v/>
      </c>
      <c r="J60" s="15" t="str">
        <f aca="false">IF($N60="","",INDEX(DUERP!$R:$R,$N60))</f>
        <v/>
      </c>
      <c r="K60" s="22"/>
      <c r="L60" s="17"/>
      <c r="N60" s="0" t="str">
        <f aca="false">IFERROR(_xlfn.AGGREGATE(15,6,ROW(DUERP!$T$3:$T$202)/(DUERP!$T$3:$T$202&gt;=9),ROWS($N$4:$N60)),"")</f>
        <v/>
      </c>
    </row>
    <row r="61" customFormat="false" ht="15" hidden="false" customHeight="false" outlineLevel="0" collapsed="false">
      <c r="A61" s="15" t="str">
        <f aca="false">IF($N61="","",INDEX(DUERP!$A:$A,$N61))</f>
        <v/>
      </c>
      <c r="B61" s="15" t="str">
        <f aca="false">IF($N61="","",INDEX(DUERP!$B:$B,$N61))</f>
        <v/>
      </c>
      <c r="C61" s="15" t="str">
        <f aca="false">IF($N61="","",INDEX(DUERP!$C:$C,$N61))</f>
        <v/>
      </c>
      <c r="D61" s="17" t="str">
        <f aca="false">IF($N61="","",INDEX(DUERP!$D:$D,$N61))</f>
        <v/>
      </c>
      <c r="E61" s="18" t="str">
        <f aca="false">IF($N61="","",INDEX(DUERP!$H:$H,$N61))</f>
        <v/>
      </c>
      <c r="F61" s="17" t="str">
        <f aca="false">IF($N61="","",INDEX(DUERP!$L:$L,$N61))</f>
        <v/>
      </c>
      <c r="G61" s="18" t="str">
        <f aca="false">IF($N61="","",INDEX(DUERP!$M:$M,$N61))</f>
        <v/>
      </c>
      <c r="H61" s="15" t="str">
        <f aca="false">IF($N61="","",INDEX(DUERP!$P:$P,$N61))</f>
        <v/>
      </c>
      <c r="I61" s="15" t="str">
        <f aca="false">IF($N61="","",INDEX(DUERP!$Q:$Q,$N61))</f>
        <v/>
      </c>
      <c r="J61" s="15" t="str">
        <f aca="false">IF($N61="","",INDEX(DUERP!$R:$R,$N61))</f>
        <v/>
      </c>
      <c r="K61" s="22"/>
      <c r="L61" s="17"/>
      <c r="N61" s="0" t="str">
        <f aca="false">IFERROR(_xlfn.AGGREGATE(15,6,ROW(DUERP!$T$3:$T$202)/(DUERP!$T$3:$T$202&gt;=9),ROWS($N$4:$N61)),"")</f>
        <v/>
      </c>
    </row>
    <row r="62" customFormat="false" ht="15" hidden="false" customHeight="false" outlineLevel="0" collapsed="false">
      <c r="A62" s="15" t="str">
        <f aca="false">IF($N62="","",INDEX(DUERP!$A:$A,$N62))</f>
        <v/>
      </c>
      <c r="B62" s="15" t="str">
        <f aca="false">IF($N62="","",INDEX(DUERP!$B:$B,$N62))</f>
        <v/>
      </c>
      <c r="C62" s="15" t="str">
        <f aca="false">IF($N62="","",INDEX(DUERP!$C:$C,$N62))</f>
        <v/>
      </c>
      <c r="D62" s="17" t="str">
        <f aca="false">IF($N62="","",INDEX(DUERP!$D:$D,$N62))</f>
        <v/>
      </c>
      <c r="E62" s="18" t="str">
        <f aca="false">IF($N62="","",INDEX(DUERP!$H:$H,$N62))</f>
        <v/>
      </c>
      <c r="F62" s="17" t="str">
        <f aca="false">IF($N62="","",INDEX(DUERP!$L:$L,$N62))</f>
        <v/>
      </c>
      <c r="G62" s="18" t="str">
        <f aca="false">IF($N62="","",INDEX(DUERP!$M:$M,$N62))</f>
        <v/>
      </c>
      <c r="H62" s="15" t="str">
        <f aca="false">IF($N62="","",INDEX(DUERP!$P:$P,$N62))</f>
        <v/>
      </c>
      <c r="I62" s="15" t="str">
        <f aca="false">IF($N62="","",INDEX(DUERP!$Q:$Q,$N62))</f>
        <v/>
      </c>
      <c r="J62" s="15" t="str">
        <f aca="false">IF($N62="","",INDEX(DUERP!$R:$R,$N62))</f>
        <v/>
      </c>
      <c r="K62" s="22"/>
      <c r="L62" s="17"/>
      <c r="N62" s="0" t="str">
        <f aca="false">IFERROR(_xlfn.AGGREGATE(15,6,ROW(DUERP!$T$3:$T$202)/(DUERP!$T$3:$T$202&gt;=9),ROWS($N$4:$N62)),"")</f>
        <v/>
      </c>
    </row>
    <row r="63" customFormat="false" ht="15" hidden="false" customHeight="false" outlineLevel="0" collapsed="false">
      <c r="A63" s="15" t="str">
        <f aca="false">IF($N63="","",INDEX(DUERP!$A:$A,$N63))</f>
        <v/>
      </c>
      <c r="B63" s="15" t="str">
        <f aca="false">IF($N63="","",INDEX(DUERP!$B:$B,$N63))</f>
        <v/>
      </c>
      <c r="C63" s="15" t="str">
        <f aca="false">IF($N63="","",INDEX(DUERP!$C:$C,$N63))</f>
        <v/>
      </c>
      <c r="D63" s="17" t="str">
        <f aca="false">IF($N63="","",INDEX(DUERP!$D:$D,$N63))</f>
        <v/>
      </c>
      <c r="E63" s="18" t="str">
        <f aca="false">IF($N63="","",INDEX(DUERP!$H:$H,$N63))</f>
        <v/>
      </c>
      <c r="F63" s="17" t="str">
        <f aca="false">IF($N63="","",INDEX(DUERP!$L:$L,$N63))</f>
        <v/>
      </c>
      <c r="G63" s="18" t="str">
        <f aca="false">IF($N63="","",INDEX(DUERP!$M:$M,$N63))</f>
        <v/>
      </c>
      <c r="H63" s="15" t="str">
        <f aca="false">IF($N63="","",INDEX(DUERP!$P:$P,$N63))</f>
        <v/>
      </c>
      <c r="I63" s="15" t="str">
        <f aca="false">IF($N63="","",INDEX(DUERP!$Q:$Q,$N63))</f>
        <v/>
      </c>
      <c r="J63" s="15" t="str">
        <f aca="false">IF($N63="","",INDEX(DUERP!$R:$R,$N63))</f>
        <v/>
      </c>
      <c r="K63" s="22"/>
      <c r="L63" s="17"/>
      <c r="N63" s="0" t="str">
        <f aca="false">IFERROR(_xlfn.AGGREGATE(15,6,ROW(DUERP!$T$3:$T$202)/(DUERP!$T$3:$T$202&gt;=9),ROWS($N$4:$N63)),"")</f>
        <v/>
      </c>
    </row>
    <row r="64" customFormat="false" ht="15" hidden="false" customHeight="false" outlineLevel="0" collapsed="false">
      <c r="A64" s="15" t="str">
        <f aca="false">IF($N64="","",INDEX(DUERP!$A:$A,$N64))</f>
        <v/>
      </c>
      <c r="B64" s="15" t="str">
        <f aca="false">IF($N64="","",INDEX(DUERP!$B:$B,$N64))</f>
        <v/>
      </c>
      <c r="C64" s="15" t="str">
        <f aca="false">IF($N64="","",INDEX(DUERP!$C:$C,$N64))</f>
        <v/>
      </c>
      <c r="D64" s="17" t="str">
        <f aca="false">IF($N64="","",INDEX(DUERP!$D:$D,$N64))</f>
        <v/>
      </c>
      <c r="E64" s="18" t="str">
        <f aca="false">IF($N64="","",INDEX(DUERP!$H:$H,$N64))</f>
        <v/>
      </c>
      <c r="F64" s="17" t="str">
        <f aca="false">IF($N64="","",INDEX(DUERP!$L:$L,$N64))</f>
        <v/>
      </c>
      <c r="G64" s="18" t="str">
        <f aca="false">IF($N64="","",INDEX(DUERP!$M:$M,$N64))</f>
        <v/>
      </c>
      <c r="H64" s="15" t="str">
        <f aca="false">IF($N64="","",INDEX(DUERP!$P:$P,$N64))</f>
        <v/>
      </c>
      <c r="I64" s="15" t="str">
        <f aca="false">IF($N64="","",INDEX(DUERP!$Q:$Q,$N64))</f>
        <v/>
      </c>
      <c r="J64" s="15" t="str">
        <f aca="false">IF($N64="","",INDEX(DUERP!$R:$R,$N64))</f>
        <v/>
      </c>
      <c r="K64" s="22"/>
      <c r="L64" s="17"/>
      <c r="N64" s="0" t="str">
        <f aca="false">IFERROR(_xlfn.AGGREGATE(15,6,ROW(DUERP!$T$3:$T$202)/(DUERP!$T$3:$T$202&gt;=9),ROWS($N$4:$N64)),"")</f>
        <v/>
      </c>
    </row>
    <row r="65" customFormat="false" ht="15" hidden="false" customHeight="false" outlineLevel="0" collapsed="false">
      <c r="A65" s="15" t="str">
        <f aca="false">IF($N65="","",INDEX(DUERP!$A:$A,$N65))</f>
        <v/>
      </c>
      <c r="B65" s="15" t="str">
        <f aca="false">IF($N65="","",INDEX(DUERP!$B:$B,$N65))</f>
        <v/>
      </c>
      <c r="C65" s="15" t="str">
        <f aca="false">IF($N65="","",INDEX(DUERP!$C:$C,$N65))</f>
        <v/>
      </c>
      <c r="D65" s="17" t="str">
        <f aca="false">IF($N65="","",INDEX(DUERP!$D:$D,$N65))</f>
        <v/>
      </c>
      <c r="E65" s="18" t="str">
        <f aca="false">IF($N65="","",INDEX(DUERP!$H:$H,$N65))</f>
        <v/>
      </c>
      <c r="F65" s="17" t="str">
        <f aca="false">IF($N65="","",INDEX(DUERP!$L:$L,$N65))</f>
        <v/>
      </c>
      <c r="G65" s="18" t="str">
        <f aca="false">IF($N65="","",INDEX(DUERP!$M:$M,$N65))</f>
        <v/>
      </c>
      <c r="H65" s="15" t="str">
        <f aca="false">IF($N65="","",INDEX(DUERP!$P:$P,$N65))</f>
        <v/>
      </c>
      <c r="I65" s="15" t="str">
        <f aca="false">IF($N65="","",INDEX(DUERP!$Q:$Q,$N65))</f>
        <v/>
      </c>
      <c r="J65" s="15" t="str">
        <f aca="false">IF($N65="","",INDEX(DUERP!$R:$R,$N65))</f>
        <v/>
      </c>
      <c r="K65" s="22"/>
      <c r="L65" s="17"/>
      <c r="N65" s="0" t="str">
        <f aca="false">IFERROR(_xlfn.AGGREGATE(15,6,ROW(DUERP!$T$3:$T$202)/(DUERP!$T$3:$T$202&gt;=9),ROWS($N$4:$N65)),"")</f>
        <v/>
      </c>
    </row>
    <row r="66" customFormat="false" ht="15" hidden="false" customHeight="false" outlineLevel="0" collapsed="false">
      <c r="A66" s="15" t="str">
        <f aca="false">IF($N66="","",INDEX(DUERP!$A:$A,$N66))</f>
        <v/>
      </c>
      <c r="B66" s="15" t="str">
        <f aca="false">IF($N66="","",INDEX(DUERP!$B:$B,$N66))</f>
        <v/>
      </c>
      <c r="C66" s="15" t="str">
        <f aca="false">IF($N66="","",INDEX(DUERP!$C:$C,$N66))</f>
        <v/>
      </c>
      <c r="D66" s="17" t="str">
        <f aca="false">IF($N66="","",INDEX(DUERP!$D:$D,$N66))</f>
        <v/>
      </c>
      <c r="E66" s="18" t="str">
        <f aca="false">IF($N66="","",INDEX(DUERP!$H:$H,$N66))</f>
        <v/>
      </c>
      <c r="F66" s="17" t="str">
        <f aca="false">IF($N66="","",INDEX(DUERP!$L:$L,$N66))</f>
        <v/>
      </c>
      <c r="G66" s="18" t="str">
        <f aca="false">IF($N66="","",INDEX(DUERP!$M:$M,$N66))</f>
        <v/>
      </c>
      <c r="H66" s="15" t="str">
        <f aca="false">IF($N66="","",INDEX(DUERP!$P:$P,$N66))</f>
        <v/>
      </c>
      <c r="I66" s="15" t="str">
        <f aca="false">IF($N66="","",INDEX(DUERP!$Q:$Q,$N66))</f>
        <v/>
      </c>
      <c r="J66" s="15" t="str">
        <f aca="false">IF($N66="","",INDEX(DUERP!$R:$R,$N66))</f>
        <v/>
      </c>
      <c r="K66" s="22"/>
      <c r="L66" s="17"/>
      <c r="N66" s="0" t="str">
        <f aca="false">IFERROR(_xlfn.AGGREGATE(15,6,ROW(DUERP!$T$3:$T$202)/(DUERP!$T$3:$T$202&gt;=9),ROWS($N$4:$N66)),"")</f>
        <v/>
      </c>
    </row>
    <row r="67" customFormat="false" ht="15" hidden="false" customHeight="false" outlineLevel="0" collapsed="false">
      <c r="A67" s="15" t="str">
        <f aca="false">IF($N67="","",INDEX(DUERP!$A:$A,$N67))</f>
        <v/>
      </c>
      <c r="B67" s="15" t="str">
        <f aca="false">IF($N67="","",INDEX(DUERP!$B:$B,$N67))</f>
        <v/>
      </c>
      <c r="C67" s="15" t="str">
        <f aca="false">IF($N67="","",INDEX(DUERP!$C:$C,$N67))</f>
        <v/>
      </c>
      <c r="D67" s="17" t="str">
        <f aca="false">IF($N67="","",INDEX(DUERP!$D:$D,$N67))</f>
        <v/>
      </c>
      <c r="E67" s="18" t="str">
        <f aca="false">IF($N67="","",INDEX(DUERP!$H:$H,$N67))</f>
        <v/>
      </c>
      <c r="F67" s="17" t="str">
        <f aca="false">IF($N67="","",INDEX(DUERP!$L:$L,$N67))</f>
        <v/>
      </c>
      <c r="G67" s="18" t="str">
        <f aca="false">IF($N67="","",INDEX(DUERP!$M:$M,$N67))</f>
        <v/>
      </c>
      <c r="H67" s="15" t="str">
        <f aca="false">IF($N67="","",INDEX(DUERP!$P:$P,$N67))</f>
        <v/>
      </c>
      <c r="I67" s="15" t="str">
        <f aca="false">IF($N67="","",INDEX(DUERP!$Q:$Q,$N67))</f>
        <v/>
      </c>
      <c r="J67" s="15" t="str">
        <f aca="false">IF($N67="","",INDEX(DUERP!$R:$R,$N67))</f>
        <v/>
      </c>
      <c r="K67" s="22"/>
      <c r="L67" s="17"/>
      <c r="N67" s="0" t="str">
        <f aca="false">IFERROR(_xlfn.AGGREGATE(15,6,ROW(DUERP!$T$3:$T$202)/(DUERP!$T$3:$T$202&gt;=9),ROWS($N$4:$N67)),"")</f>
        <v/>
      </c>
    </row>
    <row r="68" customFormat="false" ht="15" hidden="false" customHeight="false" outlineLevel="0" collapsed="false">
      <c r="A68" s="15" t="str">
        <f aca="false">IF($N68="","",INDEX(DUERP!$A:$A,$N68))</f>
        <v/>
      </c>
      <c r="B68" s="15" t="str">
        <f aca="false">IF($N68="","",INDEX(DUERP!$B:$B,$N68))</f>
        <v/>
      </c>
      <c r="C68" s="15" t="str">
        <f aca="false">IF($N68="","",INDEX(DUERP!$C:$C,$N68))</f>
        <v/>
      </c>
      <c r="D68" s="17" t="str">
        <f aca="false">IF($N68="","",INDEX(DUERP!$D:$D,$N68))</f>
        <v/>
      </c>
      <c r="E68" s="18" t="str">
        <f aca="false">IF($N68="","",INDEX(DUERP!$H:$H,$N68))</f>
        <v/>
      </c>
      <c r="F68" s="17" t="str">
        <f aca="false">IF($N68="","",INDEX(DUERP!$L:$L,$N68))</f>
        <v/>
      </c>
      <c r="G68" s="18" t="str">
        <f aca="false">IF($N68="","",INDEX(DUERP!$M:$M,$N68))</f>
        <v/>
      </c>
      <c r="H68" s="15" t="str">
        <f aca="false">IF($N68="","",INDEX(DUERP!$P:$P,$N68))</f>
        <v/>
      </c>
      <c r="I68" s="15" t="str">
        <f aca="false">IF($N68="","",INDEX(DUERP!$Q:$Q,$N68))</f>
        <v/>
      </c>
      <c r="J68" s="15" t="str">
        <f aca="false">IF($N68="","",INDEX(DUERP!$R:$R,$N68))</f>
        <v/>
      </c>
      <c r="K68" s="22"/>
      <c r="L68" s="17"/>
      <c r="N68" s="0" t="str">
        <f aca="false">IFERROR(_xlfn.AGGREGATE(15,6,ROW(DUERP!$T$3:$T$202)/(DUERP!$T$3:$T$202&gt;=9),ROWS($N$4:$N68)),"")</f>
        <v/>
      </c>
    </row>
    <row r="69" customFormat="false" ht="15" hidden="false" customHeight="false" outlineLevel="0" collapsed="false">
      <c r="A69" s="15" t="str">
        <f aca="false">IF($N69="","",INDEX(DUERP!$A:$A,$N69))</f>
        <v/>
      </c>
      <c r="B69" s="15" t="str">
        <f aca="false">IF($N69="","",INDEX(DUERP!$B:$B,$N69))</f>
        <v/>
      </c>
      <c r="C69" s="15" t="str">
        <f aca="false">IF($N69="","",INDEX(DUERP!$C:$C,$N69))</f>
        <v/>
      </c>
      <c r="D69" s="17" t="str">
        <f aca="false">IF($N69="","",INDEX(DUERP!$D:$D,$N69))</f>
        <v/>
      </c>
      <c r="E69" s="18" t="str">
        <f aca="false">IF($N69="","",INDEX(DUERP!$H:$H,$N69))</f>
        <v/>
      </c>
      <c r="F69" s="17" t="str">
        <f aca="false">IF($N69="","",INDEX(DUERP!$L:$L,$N69))</f>
        <v/>
      </c>
      <c r="G69" s="18" t="str">
        <f aca="false">IF($N69="","",INDEX(DUERP!$M:$M,$N69))</f>
        <v/>
      </c>
      <c r="H69" s="15" t="str">
        <f aca="false">IF($N69="","",INDEX(DUERP!$P:$P,$N69))</f>
        <v/>
      </c>
      <c r="I69" s="15" t="str">
        <f aca="false">IF($N69="","",INDEX(DUERP!$Q:$Q,$N69))</f>
        <v/>
      </c>
      <c r="J69" s="15" t="str">
        <f aca="false">IF($N69="","",INDEX(DUERP!$R:$R,$N69))</f>
        <v/>
      </c>
      <c r="K69" s="22"/>
      <c r="L69" s="17"/>
      <c r="N69" s="0" t="str">
        <f aca="false">IFERROR(_xlfn.AGGREGATE(15,6,ROW(DUERP!$T$3:$T$202)/(DUERP!$T$3:$T$202&gt;=9),ROWS($N$4:$N69)),"")</f>
        <v/>
      </c>
    </row>
    <row r="70" customFormat="false" ht="15" hidden="false" customHeight="false" outlineLevel="0" collapsed="false">
      <c r="A70" s="15" t="str">
        <f aca="false">IF($N70="","",INDEX(DUERP!$A:$A,$N70))</f>
        <v/>
      </c>
      <c r="B70" s="15" t="str">
        <f aca="false">IF($N70="","",INDEX(DUERP!$B:$B,$N70))</f>
        <v/>
      </c>
      <c r="C70" s="15" t="str">
        <f aca="false">IF($N70="","",INDEX(DUERP!$C:$C,$N70))</f>
        <v/>
      </c>
      <c r="D70" s="17" t="str">
        <f aca="false">IF($N70="","",INDEX(DUERP!$D:$D,$N70))</f>
        <v/>
      </c>
      <c r="E70" s="18" t="str">
        <f aca="false">IF($N70="","",INDEX(DUERP!$H:$H,$N70))</f>
        <v/>
      </c>
      <c r="F70" s="17" t="str">
        <f aca="false">IF($N70="","",INDEX(DUERP!$L:$L,$N70))</f>
        <v/>
      </c>
      <c r="G70" s="18" t="str">
        <f aca="false">IF($N70="","",INDEX(DUERP!$M:$M,$N70))</f>
        <v/>
      </c>
      <c r="H70" s="15" t="str">
        <f aca="false">IF($N70="","",INDEX(DUERP!$P:$P,$N70))</f>
        <v/>
      </c>
      <c r="I70" s="15" t="str">
        <f aca="false">IF($N70="","",INDEX(DUERP!$Q:$Q,$N70))</f>
        <v/>
      </c>
      <c r="J70" s="15" t="str">
        <f aca="false">IF($N70="","",INDEX(DUERP!$R:$R,$N70))</f>
        <v/>
      </c>
      <c r="K70" s="22"/>
      <c r="L70" s="17"/>
      <c r="N70" s="0" t="str">
        <f aca="false">IFERROR(_xlfn.AGGREGATE(15,6,ROW(DUERP!$T$3:$T$202)/(DUERP!$T$3:$T$202&gt;=9),ROWS($N$4:$N70)),"")</f>
        <v/>
      </c>
    </row>
    <row r="71" customFormat="false" ht="15" hidden="false" customHeight="false" outlineLevel="0" collapsed="false">
      <c r="A71" s="15" t="str">
        <f aca="false">IF($N71="","",INDEX(DUERP!$A:$A,$N71))</f>
        <v/>
      </c>
      <c r="B71" s="15" t="str">
        <f aca="false">IF($N71="","",INDEX(DUERP!$B:$B,$N71))</f>
        <v/>
      </c>
      <c r="C71" s="15" t="str">
        <f aca="false">IF($N71="","",INDEX(DUERP!$C:$C,$N71))</f>
        <v/>
      </c>
      <c r="D71" s="17" t="str">
        <f aca="false">IF($N71="","",INDEX(DUERP!$D:$D,$N71))</f>
        <v/>
      </c>
      <c r="E71" s="18" t="str">
        <f aca="false">IF($N71="","",INDEX(DUERP!$H:$H,$N71))</f>
        <v/>
      </c>
      <c r="F71" s="17" t="str">
        <f aca="false">IF($N71="","",INDEX(DUERP!$L:$L,$N71))</f>
        <v/>
      </c>
      <c r="G71" s="18" t="str">
        <f aca="false">IF($N71="","",INDEX(DUERP!$M:$M,$N71))</f>
        <v/>
      </c>
      <c r="H71" s="15" t="str">
        <f aca="false">IF($N71="","",INDEX(DUERP!$P:$P,$N71))</f>
        <v/>
      </c>
      <c r="I71" s="15" t="str">
        <f aca="false">IF($N71="","",INDEX(DUERP!$Q:$Q,$N71))</f>
        <v/>
      </c>
      <c r="J71" s="15" t="str">
        <f aca="false">IF($N71="","",INDEX(DUERP!$R:$R,$N71))</f>
        <v/>
      </c>
      <c r="K71" s="22"/>
      <c r="L71" s="17"/>
      <c r="N71" s="0" t="str">
        <f aca="false">IFERROR(_xlfn.AGGREGATE(15,6,ROW(DUERP!$T$3:$T$202)/(DUERP!$T$3:$T$202&gt;=9),ROWS($N$4:$N71)),"")</f>
        <v/>
      </c>
    </row>
    <row r="72" customFormat="false" ht="15" hidden="false" customHeight="false" outlineLevel="0" collapsed="false">
      <c r="A72" s="15" t="str">
        <f aca="false">IF($N72="","",INDEX(DUERP!$A:$A,$N72))</f>
        <v/>
      </c>
      <c r="B72" s="15" t="str">
        <f aca="false">IF($N72="","",INDEX(DUERP!$B:$B,$N72))</f>
        <v/>
      </c>
      <c r="C72" s="15" t="str">
        <f aca="false">IF($N72="","",INDEX(DUERP!$C:$C,$N72))</f>
        <v/>
      </c>
      <c r="D72" s="17" t="str">
        <f aca="false">IF($N72="","",INDEX(DUERP!$D:$D,$N72))</f>
        <v/>
      </c>
      <c r="E72" s="18" t="str">
        <f aca="false">IF($N72="","",INDEX(DUERP!$H:$H,$N72))</f>
        <v/>
      </c>
      <c r="F72" s="17" t="str">
        <f aca="false">IF($N72="","",INDEX(DUERP!$L:$L,$N72))</f>
        <v/>
      </c>
      <c r="G72" s="18" t="str">
        <f aca="false">IF($N72="","",INDEX(DUERP!$M:$M,$N72))</f>
        <v/>
      </c>
      <c r="H72" s="15" t="str">
        <f aca="false">IF($N72="","",INDEX(DUERP!$P:$P,$N72))</f>
        <v/>
      </c>
      <c r="I72" s="15" t="str">
        <f aca="false">IF($N72="","",INDEX(DUERP!$Q:$Q,$N72))</f>
        <v/>
      </c>
      <c r="J72" s="15" t="str">
        <f aca="false">IF($N72="","",INDEX(DUERP!$R:$R,$N72))</f>
        <v/>
      </c>
      <c r="K72" s="22"/>
      <c r="L72" s="17"/>
      <c r="N72" s="0" t="str">
        <f aca="false">IFERROR(_xlfn.AGGREGATE(15,6,ROW(DUERP!$T$3:$T$202)/(DUERP!$T$3:$T$202&gt;=9),ROWS($N$4:$N72)),"")</f>
        <v/>
      </c>
    </row>
    <row r="73" customFormat="false" ht="15" hidden="false" customHeight="false" outlineLevel="0" collapsed="false">
      <c r="A73" s="15" t="str">
        <f aca="false">IF($N73="","",INDEX(DUERP!$A:$A,$N73))</f>
        <v/>
      </c>
      <c r="B73" s="15" t="str">
        <f aca="false">IF($N73="","",INDEX(DUERP!$B:$B,$N73))</f>
        <v/>
      </c>
      <c r="C73" s="15" t="str">
        <f aca="false">IF($N73="","",INDEX(DUERP!$C:$C,$N73))</f>
        <v/>
      </c>
      <c r="D73" s="17" t="str">
        <f aca="false">IF($N73="","",INDEX(DUERP!$D:$D,$N73))</f>
        <v/>
      </c>
      <c r="E73" s="18" t="str">
        <f aca="false">IF($N73="","",INDEX(DUERP!$H:$H,$N73))</f>
        <v/>
      </c>
      <c r="F73" s="17" t="str">
        <f aca="false">IF($N73="","",INDEX(DUERP!$L:$L,$N73))</f>
        <v/>
      </c>
      <c r="G73" s="18" t="str">
        <f aca="false">IF($N73="","",INDEX(DUERP!$M:$M,$N73))</f>
        <v/>
      </c>
      <c r="H73" s="15" t="str">
        <f aca="false">IF($N73="","",INDEX(DUERP!$P:$P,$N73))</f>
        <v/>
      </c>
      <c r="I73" s="15" t="str">
        <f aca="false">IF($N73="","",INDEX(DUERP!$Q:$Q,$N73))</f>
        <v/>
      </c>
      <c r="J73" s="15" t="str">
        <f aca="false">IF($N73="","",INDEX(DUERP!$R:$R,$N73))</f>
        <v/>
      </c>
      <c r="K73" s="22"/>
      <c r="L73" s="17"/>
      <c r="N73" s="0" t="str">
        <f aca="false">IFERROR(_xlfn.AGGREGATE(15,6,ROW(DUERP!$T$3:$T$202)/(DUERP!$T$3:$T$202&gt;=9),ROWS($N$4:$N73)),"")</f>
        <v/>
      </c>
    </row>
    <row r="74" customFormat="false" ht="15" hidden="false" customHeight="false" outlineLevel="0" collapsed="false">
      <c r="A74" s="15" t="str">
        <f aca="false">IF($N74="","",INDEX(DUERP!$A:$A,$N74))</f>
        <v/>
      </c>
      <c r="B74" s="15" t="str">
        <f aca="false">IF($N74="","",INDEX(DUERP!$B:$B,$N74))</f>
        <v/>
      </c>
      <c r="C74" s="15" t="str">
        <f aca="false">IF($N74="","",INDEX(DUERP!$C:$C,$N74))</f>
        <v/>
      </c>
      <c r="D74" s="17" t="str">
        <f aca="false">IF($N74="","",INDEX(DUERP!$D:$D,$N74))</f>
        <v/>
      </c>
      <c r="E74" s="18" t="str">
        <f aca="false">IF($N74="","",INDEX(DUERP!$H:$H,$N74))</f>
        <v/>
      </c>
      <c r="F74" s="17" t="str">
        <f aca="false">IF($N74="","",INDEX(DUERP!$L:$L,$N74))</f>
        <v/>
      </c>
      <c r="G74" s="18" t="str">
        <f aca="false">IF($N74="","",INDEX(DUERP!$M:$M,$N74))</f>
        <v/>
      </c>
      <c r="H74" s="15" t="str">
        <f aca="false">IF($N74="","",INDEX(DUERP!$P:$P,$N74))</f>
        <v/>
      </c>
      <c r="I74" s="15" t="str">
        <f aca="false">IF($N74="","",INDEX(DUERP!$Q:$Q,$N74))</f>
        <v/>
      </c>
      <c r="J74" s="15" t="str">
        <f aca="false">IF($N74="","",INDEX(DUERP!$R:$R,$N74))</f>
        <v/>
      </c>
      <c r="K74" s="22"/>
      <c r="L74" s="17"/>
      <c r="N74" s="0" t="str">
        <f aca="false">IFERROR(_xlfn.AGGREGATE(15,6,ROW(DUERP!$T$3:$T$202)/(DUERP!$T$3:$T$202&gt;=9),ROWS($N$4:$N74)),"")</f>
        <v/>
      </c>
    </row>
    <row r="75" customFormat="false" ht="15" hidden="false" customHeight="false" outlineLevel="0" collapsed="false">
      <c r="A75" s="15" t="str">
        <f aca="false">IF($N75="","",INDEX(DUERP!$A:$A,$N75))</f>
        <v/>
      </c>
      <c r="B75" s="15" t="str">
        <f aca="false">IF($N75="","",INDEX(DUERP!$B:$B,$N75))</f>
        <v/>
      </c>
      <c r="C75" s="15" t="str">
        <f aca="false">IF($N75="","",INDEX(DUERP!$C:$C,$N75))</f>
        <v/>
      </c>
      <c r="D75" s="17" t="str">
        <f aca="false">IF($N75="","",INDEX(DUERP!$D:$D,$N75))</f>
        <v/>
      </c>
      <c r="E75" s="18" t="str">
        <f aca="false">IF($N75="","",INDEX(DUERP!$H:$H,$N75))</f>
        <v/>
      </c>
      <c r="F75" s="17" t="str">
        <f aca="false">IF($N75="","",INDEX(DUERP!$L:$L,$N75))</f>
        <v/>
      </c>
      <c r="G75" s="18" t="str">
        <f aca="false">IF($N75="","",INDEX(DUERP!$M:$M,$N75))</f>
        <v/>
      </c>
      <c r="H75" s="15" t="str">
        <f aca="false">IF($N75="","",INDEX(DUERP!$P:$P,$N75))</f>
        <v/>
      </c>
      <c r="I75" s="15" t="str">
        <f aca="false">IF($N75="","",INDEX(DUERP!$Q:$Q,$N75))</f>
        <v/>
      </c>
      <c r="J75" s="15" t="str">
        <f aca="false">IF($N75="","",INDEX(DUERP!$R:$R,$N75))</f>
        <v/>
      </c>
      <c r="K75" s="22"/>
      <c r="L75" s="17"/>
      <c r="N75" s="0" t="str">
        <f aca="false">IFERROR(_xlfn.AGGREGATE(15,6,ROW(DUERP!$T$3:$T$202)/(DUERP!$T$3:$T$202&gt;=9),ROWS($N$4:$N75)),"")</f>
        <v/>
      </c>
    </row>
    <row r="76" customFormat="false" ht="15" hidden="false" customHeight="false" outlineLevel="0" collapsed="false">
      <c r="A76" s="15" t="str">
        <f aca="false">IF($N76="","",INDEX(DUERP!$A:$A,$N76))</f>
        <v/>
      </c>
      <c r="B76" s="15" t="str">
        <f aca="false">IF($N76="","",INDEX(DUERP!$B:$B,$N76))</f>
        <v/>
      </c>
      <c r="C76" s="15" t="str">
        <f aca="false">IF($N76="","",INDEX(DUERP!$C:$C,$N76))</f>
        <v/>
      </c>
      <c r="D76" s="17" t="str">
        <f aca="false">IF($N76="","",INDEX(DUERP!$D:$D,$N76))</f>
        <v/>
      </c>
      <c r="E76" s="18" t="str">
        <f aca="false">IF($N76="","",INDEX(DUERP!$H:$H,$N76))</f>
        <v/>
      </c>
      <c r="F76" s="17" t="str">
        <f aca="false">IF($N76="","",INDEX(DUERP!$L:$L,$N76))</f>
        <v/>
      </c>
      <c r="G76" s="18" t="str">
        <f aca="false">IF($N76="","",INDEX(DUERP!$M:$M,$N76))</f>
        <v/>
      </c>
      <c r="H76" s="15" t="str">
        <f aca="false">IF($N76="","",INDEX(DUERP!$P:$P,$N76))</f>
        <v/>
      </c>
      <c r="I76" s="15" t="str">
        <f aca="false">IF($N76="","",INDEX(DUERP!$Q:$Q,$N76))</f>
        <v/>
      </c>
      <c r="J76" s="15" t="str">
        <f aca="false">IF($N76="","",INDEX(DUERP!$R:$R,$N76))</f>
        <v/>
      </c>
      <c r="K76" s="22"/>
      <c r="L76" s="17"/>
      <c r="N76" s="0" t="str">
        <f aca="false">IFERROR(_xlfn.AGGREGATE(15,6,ROW(DUERP!$T$3:$T$202)/(DUERP!$T$3:$T$202&gt;=9),ROWS($N$4:$N76)),"")</f>
        <v/>
      </c>
    </row>
    <row r="77" customFormat="false" ht="15" hidden="false" customHeight="false" outlineLevel="0" collapsed="false">
      <c r="A77" s="15" t="str">
        <f aca="false">IF($N77="","",INDEX(DUERP!$A:$A,$N77))</f>
        <v/>
      </c>
      <c r="B77" s="15" t="str">
        <f aca="false">IF($N77="","",INDEX(DUERP!$B:$B,$N77))</f>
        <v/>
      </c>
      <c r="C77" s="15" t="str">
        <f aca="false">IF($N77="","",INDEX(DUERP!$C:$C,$N77))</f>
        <v/>
      </c>
      <c r="D77" s="17" t="str">
        <f aca="false">IF($N77="","",INDEX(DUERP!$D:$D,$N77))</f>
        <v/>
      </c>
      <c r="E77" s="18" t="str">
        <f aca="false">IF($N77="","",INDEX(DUERP!$H:$H,$N77))</f>
        <v/>
      </c>
      <c r="F77" s="17" t="str">
        <f aca="false">IF($N77="","",INDEX(DUERP!$L:$L,$N77))</f>
        <v/>
      </c>
      <c r="G77" s="18" t="str">
        <f aca="false">IF($N77="","",INDEX(DUERP!$M:$M,$N77))</f>
        <v/>
      </c>
      <c r="H77" s="15" t="str">
        <f aca="false">IF($N77="","",INDEX(DUERP!$P:$P,$N77))</f>
        <v/>
      </c>
      <c r="I77" s="15" t="str">
        <f aca="false">IF($N77="","",INDEX(DUERP!$Q:$Q,$N77))</f>
        <v/>
      </c>
      <c r="J77" s="15" t="str">
        <f aca="false">IF($N77="","",INDEX(DUERP!$R:$R,$N77))</f>
        <v/>
      </c>
      <c r="K77" s="22"/>
      <c r="L77" s="17"/>
      <c r="N77" s="0" t="str">
        <f aca="false">IFERROR(_xlfn.AGGREGATE(15,6,ROW(DUERP!$T$3:$T$202)/(DUERP!$T$3:$T$202&gt;=9),ROWS($N$4:$N77)),"")</f>
        <v/>
      </c>
    </row>
    <row r="78" customFormat="false" ht="15" hidden="false" customHeight="false" outlineLevel="0" collapsed="false">
      <c r="A78" s="15" t="str">
        <f aca="false">IF($N78="","",INDEX(DUERP!$A:$A,$N78))</f>
        <v/>
      </c>
      <c r="B78" s="15" t="str">
        <f aca="false">IF($N78="","",INDEX(DUERP!$B:$B,$N78))</f>
        <v/>
      </c>
      <c r="C78" s="15" t="str">
        <f aca="false">IF($N78="","",INDEX(DUERP!$C:$C,$N78))</f>
        <v/>
      </c>
      <c r="D78" s="17" t="str">
        <f aca="false">IF($N78="","",INDEX(DUERP!$D:$D,$N78))</f>
        <v/>
      </c>
      <c r="E78" s="18" t="str">
        <f aca="false">IF($N78="","",INDEX(DUERP!$H:$H,$N78))</f>
        <v/>
      </c>
      <c r="F78" s="17" t="str">
        <f aca="false">IF($N78="","",INDEX(DUERP!$L:$L,$N78))</f>
        <v/>
      </c>
      <c r="G78" s="18" t="str">
        <f aca="false">IF($N78="","",INDEX(DUERP!$M:$M,$N78))</f>
        <v/>
      </c>
      <c r="H78" s="15" t="str">
        <f aca="false">IF($N78="","",INDEX(DUERP!$P:$P,$N78))</f>
        <v/>
      </c>
      <c r="I78" s="15" t="str">
        <f aca="false">IF($N78="","",INDEX(DUERP!$Q:$Q,$N78))</f>
        <v/>
      </c>
      <c r="J78" s="15" t="str">
        <f aca="false">IF($N78="","",INDEX(DUERP!$R:$R,$N78))</f>
        <v/>
      </c>
      <c r="K78" s="22"/>
      <c r="L78" s="17"/>
      <c r="N78" s="0" t="str">
        <f aca="false">IFERROR(_xlfn.AGGREGATE(15,6,ROW(DUERP!$T$3:$T$202)/(DUERP!$T$3:$T$202&gt;=9),ROWS($N$4:$N78)),"")</f>
        <v/>
      </c>
    </row>
    <row r="79" customFormat="false" ht="15" hidden="false" customHeight="false" outlineLevel="0" collapsed="false">
      <c r="A79" s="15" t="str">
        <f aca="false">IF($N79="","",INDEX(DUERP!$A:$A,$N79))</f>
        <v/>
      </c>
      <c r="B79" s="15" t="str">
        <f aca="false">IF($N79="","",INDEX(DUERP!$B:$B,$N79))</f>
        <v/>
      </c>
      <c r="C79" s="15" t="str">
        <f aca="false">IF($N79="","",INDEX(DUERP!$C:$C,$N79))</f>
        <v/>
      </c>
      <c r="D79" s="17" t="str">
        <f aca="false">IF($N79="","",INDEX(DUERP!$D:$D,$N79))</f>
        <v/>
      </c>
      <c r="E79" s="18" t="str">
        <f aca="false">IF($N79="","",INDEX(DUERP!$H:$H,$N79))</f>
        <v/>
      </c>
      <c r="F79" s="17" t="str">
        <f aca="false">IF($N79="","",INDEX(DUERP!$L:$L,$N79))</f>
        <v/>
      </c>
      <c r="G79" s="18" t="str">
        <f aca="false">IF($N79="","",INDEX(DUERP!$M:$M,$N79))</f>
        <v/>
      </c>
      <c r="H79" s="15" t="str">
        <f aca="false">IF($N79="","",INDEX(DUERP!$P:$P,$N79))</f>
        <v/>
      </c>
      <c r="I79" s="15" t="str">
        <f aca="false">IF($N79="","",INDEX(DUERP!$Q:$Q,$N79))</f>
        <v/>
      </c>
      <c r="J79" s="15" t="str">
        <f aca="false">IF($N79="","",INDEX(DUERP!$R:$R,$N79))</f>
        <v/>
      </c>
      <c r="K79" s="22"/>
      <c r="L79" s="17"/>
      <c r="N79" s="0" t="str">
        <f aca="false">IFERROR(_xlfn.AGGREGATE(15,6,ROW(DUERP!$T$3:$T$202)/(DUERP!$T$3:$T$202&gt;=9),ROWS($N$4:$N79)),"")</f>
        <v/>
      </c>
    </row>
    <row r="80" customFormat="false" ht="15" hidden="false" customHeight="false" outlineLevel="0" collapsed="false">
      <c r="A80" s="15" t="str">
        <f aca="false">IF($N80="","",INDEX(DUERP!$A:$A,$N80))</f>
        <v/>
      </c>
      <c r="B80" s="15" t="str">
        <f aca="false">IF($N80="","",INDEX(DUERP!$B:$B,$N80))</f>
        <v/>
      </c>
      <c r="C80" s="15" t="str">
        <f aca="false">IF($N80="","",INDEX(DUERP!$C:$C,$N80))</f>
        <v/>
      </c>
      <c r="D80" s="17" t="str">
        <f aca="false">IF($N80="","",INDEX(DUERP!$D:$D,$N80))</f>
        <v/>
      </c>
      <c r="E80" s="18" t="str">
        <f aca="false">IF($N80="","",INDEX(DUERP!$H:$H,$N80))</f>
        <v/>
      </c>
      <c r="F80" s="17" t="str">
        <f aca="false">IF($N80="","",INDEX(DUERP!$L:$L,$N80))</f>
        <v/>
      </c>
      <c r="G80" s="18" t="str">
        <f aca="false">IF($N80="","",INDEX(DUERP!$M:$M,$N80))</f>
        <v/>
      </c>
      <c r="H80" s="15" t="str">
        <f aca="false">IF($N80="","",INDEX(DUERP!$P:$P,$N80))</f>
        <v/>
      </c>
      <c r="I80" s="15" t="str">
        <f aca="false">IF($N80="","",INDEX(DUERP!$Q:$Q,$N80))</f>
        <v/>
      </c>
      <c r="J80" s="15" t="str">
        <f aca="false">IF($N80="","",INDEX(DUERP!$R:$R,$N80))</f>
        <v/>
      </c>
      <c r="K80" s="22"/>
      <c r="L80" s="17"/>
      <c r="N80" s="0" t="str">
        <f aca="false">IFERROR(_xlfn.AGGREGATE(15,6,ROW(DUERP!$T$3:$T$202)/(DUERP!$T$3:$T$202&gt;=9),ROWS($N$4:$N80)),"")</f>
        <v/>
      </c>
    </row>
    <row r="81" customFormat="false" ht="15" hidden="false" customHeight="false" outlineLevel="0" collapsed="false">
      <c r="A81" s="15" t="str">
        <f aca="false">IF($N81="","",INDEX(DUERP!$A:$A,$N81))</f>
        <v/>
      </c>
      <c r="B81" s="15" t="str">
        <f aca="false">IF($N81="","",INDEX(DUERP!$B:$B,$N81))</f>
        <v/>
      </c>
      <c r="C81" s="15" t="str">
        <f aca="false">IF($N81="","",INDEX(DUERP!$C:$C,$N81))</f>
        <v/>
      </c>
      <c r="D81" s="17" t="str">
        <f aca="false">IF($N81="","",INDEX(DUERP!$D:$D,$N81))</f>
        <v/>
      </c>
      <c r="E81" s="18" t="str">
        <f aca="false">IF($N81="","",INDEX(DUERP!$H:$H,$N81))</f>
        <v/>
      </c>
      <c r="F81" s="17" t="str">
        <f aca="false">IF($N81="","",INDEX(DUERP!$L:$L,$N81))</f>
        <v/>
      </c>
      <c r="G81" s="18" t="str">
        <f aca="false">IF($N81="","",INDEX(DUERP!$M:$M,$N81))</f>
        <v/>
      </c>
      <c r="H81" s="15" t="str">
        <f aca="false">IF($N81="","",INDEX(DUERP!$P:$P,$N81))</f>
        <v/>
      </c>
      <c r="I81" s="15" t="str">
        <f aca="false">IF($N81="","",INDEX(DUERP!$Q:$Q,$N81))</f>
        <v/>
      </c>
      <c r="J81" s="15" t="str">
        <f aca="false">IF($N81="","",INDEX(DUERP!$R:$R,$N81))</f>
        <v/>
      </c>
      <c r="K81" s="22"/>
      <c r="L81" s="17"/>
      <c r="N81" s="0" t="str">
        <f aca="false">IFERROR(_xlfn.AGGREGATE(15,6,ROW(DUERP!$T$3:$T$202)/(DUERP!$T$3:$T$202&gt;=9),ROWS($N$4:$N81)),"")</f>
        <v/>
      </c>
    </row>
    <row r="82" customFormat="false" ht="15" hidden="false" customHeight="false" outlineLevel="0" collapsed="false">
      <c r="A82" s="15" t="str">
        <f aca="false">IF($N82="","",INDEX(DUERP!$A:$A,$N82))</f>
        <v/>
      </c>
      <c r="B82" s="15" t="str">
        <f aca="false">IF($N82="","",INDEX(DUERP!$B:$B,$N82))</f>
        <v/>
      </c>
      <c r="C82" s="15" t="str">
        <f aca="false">IF($N82="","",INDEX(DUERP!$C:$C,$N82))</f>
        <v/>
      </c>
      <c r="D82" s="17" t="str">
        <f aca="false">IF($N82="","",INDEX(DUERP!$D:$D,$N82))</f>
        <v/>
      </c>
      <c r="E82" s="18" t="str">
        <f aca="false">IF($N82="","",INDEX(DUERP!$H:$H,$N82))</f>
        <v/>
      </c>
      <c r="F82" s="17" t="str">
        <f aca="false">IF($N82="","",INDEX(DUERP!$L:$L,$N82))</f>
        <v/>
      </c>
      <c r="G82" s="18" t="str">
        <f aca="false">IF($N82="","",INDEX(DUERP!$M:$M,$N82))</f>
        <v/>
      </c>
      <c r="H82" s="15" t="str">
        <f aca="false">IF($N82="","",INDEX(DUERP!$P:$P,$N82))</f>
        <v/>
      </c>
      <c r="I82" s="15" t="str">
        <f aca="false">IF($N82="","",INDEX(DUERP!$Q:$Q,$N82))</f>
        <v/>
      </c>
      <c r="J82" s="15" t="str">
        <f aca="false">IF($N82="","",INDEX(DUERP!$R:$R,$N82))</f>
        <v/>
      </c>
      <c r="K82" s="22"/>
      <c r="L82" s="17"/>
      <c r="N82" s="0" t="str">
        <f aca="false">IFERROR(_xlfn.AGGREGATE(15,6,ROW(DUERP!$T$3:$T$202)/(DUERP!$T$3:$T$202&gt;=9),ROWS($N$4:$N82)),"")</f>
        <v/>
      </c>
    </row>
    <row r="83" customFormat="false" ht="15" hidden="false" customHeight="false" outlineLevel="0" collapsed="false">
      <c r="A83" s="15" t="str">
        <f aca="false">IF($N83="","",INDEX(DUERP!$A:$A,$N83))</f>
        <v/>
      </c>
      <c r="B83" s="15" t="str">
        <f aca="false">IF($N83="","",INDEX(DUERP!$B:$B,$N83))</f>
        <v/>
      </c>
      <c r="C83" s="15" t="str">
        <f aca="false">IF($N83="","",INDEX(DUERP!$C:$C,$N83))</f>
        <v/>
      </c>
      <c r="D83" s="17" t="str">
        <f aca="false">IF($N83="","",INDEX(DUERP!$D:$D,$N83))</f>
        <v/>
      </c>
      <c r="E83" s="18" t="str">
        <f aca="false">IF($N83="","",INDEX(DUERP!$H:$H,$N83))</f>
        <v/>
      </c>
      <c r="F83" s="17" t="str">
        <f aca="false">IF($N83="","",INDEX(DUERP!$L:$L,$N83))</f>
        <v/>
      </c>
      <c r="G83" s="18" t="str">
        <f aca="false">IF($N83="","",INDEX(DUERP!$M:$M,$N83))</f>
        <v/>
      </c>
      <c r="H83" s="15" t="str">
        <f aca="false">IF($N83="","",INDEX(DUERP!$P:$P,$N83))</f>
        <v/>
      </c>
      <c r="I83" s="15" t="str">
        <f aca="false">IF($N83="","",INDEX(DUERP!$Q:$Q,$N83))</f>
        <v/>
      </c>
      <c r="J83" s="15" t="str">
        <f aca="false">IF($N83="","",INDEX(DUERP!$R:$R,$N83))</f>
        <v/>
      </c>
      <c r="K83" s="22"/>
      <c r="L83" s="17"/>
      <c r="N83" s="0" t="str">
        <f aca="false">IFERROR(_xlfn.AGGREGATE(15,6,ROW(DUERP!$T$3:$T$202)/(DUERP!$T$3:$T$202&gt;=9),ROWS($N$4:$N83)),"")</f>
        <v/>
      </c>
    </row>
    <row r="84" customFormat="false" ht="15" hidden="false" customHeight="false" outlineLevel="0" collapsed="false">
      <c r="A84" s="15" t="str">
        <f aca="false">IF($N84="","",INDEX(DUERP!$A:$A,$N84))</f>
        <v/>
      </c>
      <c r="B84" s="15" t="str">
        <f aca="false">IF($N84="","",INDEX(DUERP!$B:$B,$N84))</f>
        <v/>
      </c>
      <c r="C84" s="15" t="str">
        <f aca="false">IF($N84="","",INDEX(DUERP!$C:$C,$N84))</f>
        <v/>
      </c>
      <c r="D84" s="17" t="str">
        <f aca="false">IF($N84="","",INDEX(DUERP!$D:$D,$N84))</f>
        <v/>
      </c>
      <c r="E84" s="18" t="str">
        <f aca="false">IF($N84="","",INDEX(DUERP!$H:$H,$N84))</f>
        <v/>
      </c>
      <c r="F84" s="17" t="str">
        <f aca="false">IF($N84="","",INDEX(DUERP!$L:$L,$N84))</f>
        <v/>
      </c>
      <c r="G84" s="18" t="str">
        <f aca="false">IF($N84="","",INDEX(DUERP!$M:$M,$N84))</f>
        <v/>
      </c>
      <c r="H84" s="15" t="str">
        <f aca="false">IF($N84="","",INDEX(DUERP!$P:$P,$N84))</f>
        <v/>
      </c>
      <c r="I84" s="15" t="str">
        <f aca="false">IF($N84="","",INDEX(DUERP!$Q:$Q,$N84))</f>
        <v/>
      </c>
      <c r="J84" s="15" t="str">
        <f aca="false">IF($N84="","",INDEX(DUERP!$R:$R,$N84))</f>
        <v/>
      </c>
      <c r="K84" s="22"/>
      <c r="L84" s="17"/>
      <c r="N84" s="0" t="str">
        <f aca="false">IFERROR(_xlfn.AGGREGATE(15,6,ROW(DUERP!$T$3:$T$202)/(DUERP!$T$3:$T$202&gt;=9),ROWS($N$4:$N84)),"")</f>
        <v/>
      </c>
    </row>
    <row r="85" customFormat="false" ht="15" hidden="false" customHeight="false" outlineLevel="0" collapsed="false">
      <c r="A85" s="15" t="str">
        <f aca="false">IF($N85="","",INDEX(DUERP!$A:$A,$N85))</f>
        <v/>
      </c>
      <c r="B85" s="15" t="str">
        <f aca="false">IF($N85="","",INDEX(DUERP!$B:$B,$N85))</f>
        <v/>
      </c>
      <c r="C85" s="15" t="str">
        <f aca="false">IF($N85="","",INDEX(DUERP!$C:$C,$N85))</f>
        <v/>
      </c>
      <c r="D85" s="17" t="str">
        <f aca="false">IF($N85="","",INDEX(DUERP!$D:$D,$N85))</f>
        <v/>
      </c>
      <c r="E85" s="18" t="str">
        <f aca="false">IF($N85="","",INDEX(DUERP!$H:$H,$N85))</f>
        <v/>
      </c>
      <c r="F85" s="17" t="str">
        <f aca="false">IF($N85="","",INDEX(DUERP!$L:$L,$N85))</f>
        <v/>
      </c>
      <c r="G85" s="18" t="str">
        <f aca="false">IF($N85="","",INDEX(DUERP!$M:$M,$N85))</f>
        <v/>
      </c>
      <c r="H85" s="15" t="str">
        <f aca="false">IF($N85="","",INDEX(DUERP!$P:$P,$N85))</f>
        <v/>
      </c>
      <c r="I85" s="15" t="str">
        <f aca="false">IF($N85="","",INDEX(DUERP!$Q:$Q,$N85))</f>
        <v/>
      </c>
      <c r="J85" s="15" t="str">
        <f aca="false">IF($N85="","",INDEX(DUERP!$R:$R,$N85))</f>
        <v/>
      </c>
      <c r="K85" s="22"/>
      <c r="L85" s="17"/>
      <c r="N85" s="0" t="str">
        <f aca="false">IFERROR(_xlfn.AGGREGATE(15,6,ROW(DUERP!$T$3:$T$202)/(DUERP!$T$3:$T$202&gt;=9),ROWS($N$4:$N85)),"")</f>
        <v/>
      </c>
    </row>
    <row r="86" customFormat="false" ht="15" hidden="false" customHeight="false" outlineLevel="0" collapsed="false">
      <c r="A86" s="15" t="str">
        <f aca="false">IF($N86="","",INDEX(DUERP!$A:$A,$N86))</f>
        <v/>
      </c>
      <c r="B86" s="15" t="str">
        <f aca="false">IF($N86="","",INDEX(DUERP!$B:$B,$N86))</f>
        <v/>
      </c>
      <c r="C86" s="15" t="str">
        <f aca="false">IF($N86="","",INDEX(DUERP!$C:$C,$N86))</f>
        <v/>
      </c>
      <c r="D86" s="17" t="str">
        <f aca="false">IF($N86="","",INDEX(DUERP!$D:$D,$N86))</f>
        <v/>
      </c>
      <c r="E86" s="18" t="str">
        <f aca="false">IF($N86="","",INDEX(DUERP!$H:$H,$N86))</f>
        <v/>
      </c>
      <c r="F86" s="17" t="str">
        <f aca="false">IF($N86="","",INDEX(DUERP!$L:$L,$N86))</f>
        <v/>
      </c>
      <c r="G86" s="18" t="str">
        <f aca="false">IF($N86="","",INDEX(DUERP!$M:$M,$N86))</f>
        <v/>
      </c>
      <c r="H86" s="15" t="str">
        <f aca="false">IF($N86="","",INDEX(DUERP!$P:$P,$N86))</f>
        <v/>
      </c>
      <c r="I86" s="15" t="str">
        <f aca="false">IF($N86="","",INDEX(DUERP!$Q:$Q,$N86))</f>
        <v/>
      </c>
      <c r="J86" s="15" t="str">
        <f aca="false">IF($N86="","",INDEX(DUERP!$R:$R,$N86))</f>
        <v/>
      </c>
      <c r="K86" s="22"/>
      <c r="L86" s="17"/>
      <c r="N86" s="0" t="str">
        <f aca="false">IFERROR(_xlfn.AGGREGATE(15,6,ROW(DUERP!$T$3:$T$202)/(DUERP!$T$3:$T$202&gt;=9),ROWS($N$4:$N86)),"")</f>
        <v/>
      </c>
    </row>
    <row r="87" customFormat="false" ht="15" hidden="false" customHeight="false" outlineLevel="0" collapsed="false">
      <c r="A87" s="15" t="str">
        <f aca="false">IF($N87="","",INDEX(DUERP!$A:$A,$N87))</f>
        <v/>
      </c>
      <c r="B87" s="15" t="str">
        <f aca="false">IF($N87="","",INDEX(DUERP!$B:$B,$N87))</f>
        <v/>
      </c>
      <c r="C87" s="15" t="str">
        <f aca="false">IF($N87="","",INDEX(DUERP!$C:$C,$N87))</f>
        <v/>
      </c>
      <c r="D87" s="17" t="str">
        <f aca="false">IF($N87="","",INDEX(DUERP!$D:$D,$N87))</f>
        <v/>
      </c>
      <c r="E87" s="18" t="str">
        <f aca="false">IF($N87="","",INDEX(DUERP!$H:$H,$N87))</f>
        <v/>
      </c>
      <c r="F87" s="17" t="str">
        <f aca="false">IF($N87="","",INDEX(DUERP!$L:$L,$N87))</f>
        <v/>
      </c>
      <c r="G87" s="18" t="str">
        <f aca="false">IF($N87="","",INDEX(DUERP!$M:$M,$N87))</f>
        <v/>
      </c>
      <c r="H87" s="15" t="str">
        <f aca="false">IF($N87="","",INDEX(DUERP!$P:$P,$N87))</f>
        <v/>
      </c>
      <c r="I87" s="15" t="str">
        <f aca="false">IF($N87="","",INDEX(DUERP!$Q:$Q,$N87))</f>
        <v/>
      </c>
      <c r="J87" s="15" t="str">
        <f aca="false">IF($N87="","",INDEX(DUERP!$R:$R,$N87))</f>
        <v/>
      </c>
      <c r="K87" s="22"/>
      <c r="L87" s="17"/>
      <c r="N87" s="0" t="str">
        <f aca="false">IFERROR(_xlfn.AGGREGATE(15,6,ROW(DUERP!$T$3:$T$202)/(DUERP!$T$3:$T$202&gt;=9),ROWS($N$4:$N87)),"")</f>
        <v/>
      </c>
    </row>
    <row r="88" customFormat="false" ht="15" hidden="false" customHeight="false" outlineLevel="0" collapsed="false">
      <c r="A88" s="15" t="str">
        <f aca="false">IF($N88="","",INDEX(DUERP!$A:$A,$N88))</f>
        <v/>
      </c>
      <c r="B88" s="15" t="str">
        <f aca="false">IF($N88="","",INDEX(DUERP!$B:$B,$N88))</f>
        <v/>
      </c>
      <c r="C88" s="15" t="str">
        <f aca="false">IF($N88="","",INDEX(DUERP!$C:$C,$N88))</f>
        <v/>
      </c>
      <c r="D88" s="17" t="str">
        <f aca="false">IF($N88="","",INDEX(DUERP!$D:$D,$N88))</f>
        <v/>
      </c>
      <c r="E88" s="18" t="str">
        <f aca="false">IF($N88="","",INDEX(DUERP!$H:$H,$N88))</f>
        <v/>
      </c>
      <c r="F88" s="17" t="str">
        <f aca="false">IF($N88="","",INDEX(DUERP!$L:$L,$N88))</f>
        <v/>
      </c>
      <c r="G88" s="18" t="str">
        <f aca="false">IF($N88="","",INDEX(DUERP!$M:$M,$N88))</f>
        <v/>
      </c>
      <c r="H88" s="15" t="str">
        <f aca="false">IF($N88="","",INDEX(DUERP!$P:$P,$N88))</f>
        <v/>
      </c>
      <c r="I88" s="15" t="str">
        <f aca="false">IF($N88="","",INDEX(DUERP!$Q:$Q,$N88))</f>
        <v/>
      </c>
      <c r="J88" s="15" t="str">
        <f aca="false">IF($N88="","",INDEX(DUERP!$R:$R,$N88))</f>
        <v/>
      </c>
      <c r="K88" s="22"/>
      <c r="L88" s="17"/>
      <c r="N88" s="0" t="str">
        <f aca="false">IFERROR(_xlfn.AGGREGATE(15,6,ROW(DUERP!$T$3:$T$202)/(DUERP!$T$3:$T$202&gt;=9),ROWS($N$4:$N88)),"")</f>
        <v/>
      </c>
    </row>
    <row r="89" customFormat="false" ht="15" hidden="false" customHeight="false" outlineLevel="0" collapsed="false">
      <c r="A89" s="15" t="str">
        <f aca="false">IF($N89="","",INDEX(DUERP!$A:$A,$N89))</f>
        <v/>
      </c>
      <c r="B89" s="15" t="str">
        <f aca="false">IF($N89="","",INDEX(DUERP!$B:$B,$N89))</f>
        <v/>
      </c>
      <c r="C89" s="15" t="str">
        <f aca="false">IF($N89="","",INDEX(DUERP!$C:$C,$N89))</f>
        <v/>
      </c>
      <c r="D89" s="17" t="str">
        <f aca="false">IF($N89="","",INDEX(DUERP!$D:$D,$N89))</f>
        <v/>
      </c>
      <c r="E89" s="18" t="str">
        <f aca="false">IF($N89="","",INDEX(DUERP!$H:$H,$N89))</f>
        <v/>
      </c>
      <c r="F89" s="17" t="str">
        <f aca="false">IF($N89="","",INDEX(DUERP!$L:$L,$N89))</f>
        <v/>
      </c>
      <c r="G89" s="18" t="str">
        <f aca="false">IF($N89="","",INDEX(DUERP!$M:$M,$N89))</f>
        <v/>
      </c>
      <c r="H89" s="15" t="str">
        <f aca="false">IF($N89="","",INDEX(DUERP!$P:$P,$N89))</f>
        <v/>
      </c>
      <c r="I89" s="15" t="str">
        <f aca="false">IF($N89="","",INDEX(DUERP!$Q:$Q,$N89))</f>
        <v/>
      </c>
      <c r="J89" s="15" t="str">
        <f aca="false">IF($N89="","",INDEX(DUERP!$R:$R,$N89))</f>
        <v/>
      </c>
      <c r="K89" s="22"/>
      <c r="L89" s="17"/>
      <c r="N89" s="0" t="str">
        <f aca="false">IFERROR(_xlfn.AGGREGATE(15,6,ROW(DUERP!$T$3:$T$202)/(DUERP!$T$3:$T$202&gt;=9),ROWS($N$4:$N89)),"")</f>
        <v/>
      </c>
    </row>
    <row r="90" customFormat="false" ht="15" hidden="false" customHeight="false" outlineLevel="0" collapsed="false">
      <c r="A90" s="15" t="str">
        <f aca="false">IF($N90="","",INDEX(DUERP!$A:$A,$N90))</f>
        <v/>
      </c>
      <c r="B90" s="15" t="str">
        <f aca="false">IF($N90="","",INDEX(DUERP!$B:$B,$N90))</f>
        <v/>
      </c>
      <c r="C90" s="15" t="str">
        <f aca="false">IF($N90="","",INDEX(DUERP!$C:$C,$N90))</f>
        <v/>
      </c>
      <c r="D90" s="17" t="str">
        <f aca="false">IF($N90="","",INDEX(DUERP!$D:$D,$N90))</f>
        <v/>
      </c>
      <c r="E90" s="18" t="str">
        <f aca="false">IF($N90="","",INDEX(DUERP!$H:$H,$N90))</f>
        <v/>
      </c>
      <c r="F90" s="17" t="str">
        <f aca="false">IF($N90="","",INDEX(DUERP!$L:$L,$N90))</f>
        <v/>
      </c>
      <c r="G90" s="18" t="str">
        <f aca="false">IF($N90="","",INDEX(DUERP!$M:$M,$N90))</f>
        <v/>
      </c>
      <c r="H90" s="15" t="str">
        <f aca="false">IF($N90="","",INDEX(DUERP!$P:$P,$N90))</f>
        <v/>
      </c>
      <c r="I90" s="15" t="str">
        <f aca="false">IF($N90="","",INDEX(DUERP!$Q:$Q,$N90))</f>
        <v/>
      </c>
      <c r="J90" s="15" t="str">
        <f aca="false">IF($N90="","",INDEX(DUERP!$R:$R,$N90))</f>
        <v/>
      </c>
      <c r="K90" s="22"/>
      <c r="L90" s="17"/>
      <c r="N90" s="0" t="str">
        <f aca="false">IFERROR(_xlfn.AGGREGATE(15,6,ROW(DUERP!$T$3:$T$202)/(DUERP!$T$3:$T$202&gt;=9),ROWS($N$4:$N90)),"")</f>
        <v/>
      </c>
    </row>
    <row r="91" customFormat="false" ht="15" hidden="false" customHeight="false" outlineLevel="0" collapsed="false">
      <c r="A91" s="15" t="str">
        <f aca="false">IF($N91="","",INDEX(DUERP!$A:$A,$N91))</f>
        <v/>
      </c>
      <c r="B91" s="15" t="str">
        <f aca="false">IF($N91="","",INDEX(DUERP!$B:$B,$N91))</f>
        <v/>
      </c>
      <c r="C91" s="15" t="str">
        <f aca="false">IF($N91="","",INDEX(DUERP!$C:$C,$N91))</f>
        <v/>
      </c>
      <c r="D91" s="17" t="str">
        <f aca="false">IF($N91="","",INDEX(DUERP!$D:$D,$N91))</f>
        <v/>
      </c>
      <c r="E91" s="18" t="str">
        <f aca="false">IF($N91="","",INDEX(DUERP!$H:$H,$N91))</f>
        <v/>
      </c>
      <c r="F91" s="17" t="str">
        <f aca="false">IF($N91="","",INDEX(DUERP!$L:$L,$N91))</f>
        <v/>
      </c>
      <c r="G91" s="18" t="str">
        <f aca="false">IF($N91="","",INDEX(DUERP!$M:$M,$N91))</f>
        <v/>
      </c>
      <c r="H91" s="15" t="str">
        <f aca="false">IF($N91="","",INDEX(DUERP!$P:$P,$N91))</f>
        <v/>
      </c>
      <c r="I91" s="15" t="str">
        <f aca="false">IF($N91="","",INDEX(DUERP!$Q:$Q,$N91))</f>
        <v/>
      </c>
      <c r="J91" s="15" t="str">
        <f aca="false">IF($N91="","",INDEX(DUERP!$R:$R,$N91))</f>
        <v/>
      </c>
      <c r="K91" s="22"/>
      <c r="L91" s="17"/>
      <c r="N91" s="0" t="str">
        <f aca="false">IFERROR(_xlfn.AGGREGATE(15,6,ROW(DUERP!$T$3:$T$202)/(DUERP!$T$3:$T$202&gt;=9),ROWS($N$4:$N91)),"")</f>
        <v/>
      </c>
    </row>
    <row r="92" customFormat="false" ht="15" hidden="false" customHeight="false" outlineLevel="0" collapsed="false">
      <c r="A92" s="15" t="str">
        <f aca="false">IF($N92="","",INDEX(DUERP!$A:$A,$N92))</f>
        <v/>
      </c>
      <c r="B92" s="15" t="str">
        <f aca="false">IF($N92="","",INDEX(DUERP!$B:$B,$N92))</f>
        <v/>
      </c>
      <c r="C92" s="15" t="str">
        <f aca="false">IF($N92="","",INDEX(DUERP!$C:$C,$N92))</f>
        <v/>
      </c>
      <c r="D92" s="17" t="str">
        <f aca="false">IF($N92="","",INDEX(DUERP!$D:$D,$N92))</f>
        <v/>
      </c>
      <c r="E92" s="18" t="str">
        <f aca="false">IF($N92="","",INDEX(DUERP!$H:$H,$N92))</f>
        <v/>
      </c>
      <c r="F92" s="17" t="str">
        <f aca="false">IF($N92="","",INDEX(DUERP!$L:$L,$N92))</f>
        <v/>
      </c>
      <c r="G92" s="18" t="str">
        <f aca="false">IF($N92="","",INDEX(DUERP!$M:$M,$N92))</f>
        <v/>
      </c>
      <c r="H92" s="15" t="str">
        <f aca="false">IF($N92="","",INDEX(DUERP!$P:$P,$N92))</f>
        <v/>
      </c>
      <c r="I92" s="15" t="str">
        <f aca="false">IF($N92="","",INDEX(DUERP!$Q:$Q,$N92))</f>
        <v/>
      </c>
      <c r="J92" s="15" t="str">
        <f aca="false">IF($N92="","",INDEX(DUERP!$R:$R,$N92))</f>
        <v/>
      </c>
      <c r="K92" s="22"/>
      <c r="L92" s="17"/>
      <c r="N92" s="0" t="str">
        <f aca="false">IFERROR(_xlfn.AGGREGATE(15,6,ROW(DUERP!$T$3:$T$202)/(DUERP!$T$3:$T$202&gt;=9),ROWS($N$4:$N92)),"")</f>
        <v/>
      </c>
    </row>
    <row r="93" customFormat="false" ht="15" hidden="false" customHeight="false" outlineLevel="0" collapsed="false">
      <c r="A93" s="15" t="str">
        <f aca="false">IF($N93="","",INDEX(DUERP!$A:$A,$N93))</f>
        <v/>
      </c>
      <c r="B93" s="15" t="str">
        <f aca="false">IF($N93="","",INDEX(DUERP!$B:$B,$N93))</f>
        <v/>
      </c>
      <c r="C93" s="15" t="str">
        <f aca="false">IF($N93="","",INDEX(DUERP!$C:$C,$N93))</f>
        <v/>
      </c>
      <c r="D93" s="17" t="str">
        <f aca="false">IF($N93="","",INDEX(DUERP!$D:$D,$N93))</f>
        <v/>
      </c>
      <c r="E93" s="18" t="str">
        <f aca="false">IF($N93="","",INDEX(DUERP!$H:$H,$N93))</f>
        <v/>
      </c>
      <c r="F93" s="17" t="str">
        <f aca="false">IF($N93="","",INDEX(DUERP!$L:$L,$N93))</f>
        <v/>
      </c>
      <c r="G93" s="18" t="str">
        <f aca="false">IF($N93="","",INDEX(DUERP!$M:$M,$N93))</f>
        <v/>
      </c>
      <c r="H93" s="15" t="str">
        <f aca="false">IF($N93="","",INDEX(DUERP!$P:$P,$N93))</f>
        <v/>
      </c>
      <c r="I93" s="15" t="str">
        <f aca="false">IF($N93="","",INDEX(DUERP!$Q:$Q,$N93))</f>
        <v/>
      </c>
      <c r="J93" s="15" t="str">
        <f aca="false">IF($N93="","",INDEX(DUERP!$R:$R,$N93))</f>
        <v/>
      </c>
      <c r="K93" s="22"/>
      <c r="L93" s="17"/>
      <c r="N93" s="0" t="str">
        <f aca="false">IFERROR(_xlfn.AGGREGATE(15,6,ROW(DUERP!$T$3:$T$202)/(DUERP!$T$3:$T$202&gt;=9),ROWS($N$4:$N93)),"")</f>
        <v/>
      </c>
    </row>
  </sheetData>
  <autoFilter ref="A3:L93"/>
  <mergeCells count="2">
    <mergeCell ref="A1:L1"/>
    <mergeCell ref="A2:L2"/>
  </mergeCells>
  <conditionalFormatting sqref="E4:E93">
    <cfRule type="cellIs" priority="2" operator="greaterThanOrEqual" aboveAverage="0" equalAverage="0" bottom="0" percent="0" rank="0" text="" dxfId="11">
      <formula>16</formula>
    </cfRule>
    <cfRule type="cellIs" priority="3" operator="between" aboveAverage="0" equalAverage="0" bottom="0" percent="0" rank="0" text="" dxfId="12">
      <formula>9</formula>
      <formula>15</formula>
    </cfRule>
    <cfRule type="cellIs" priority="4" operator="between" aboveAverage="0" equalAverage="0" bottom="0" percent="0" rank="0" text="" dxfId="13">
      <formula>5</formula>
      <formula>8</formula>
    </cfRule>
    <cfRule type="cellIs" priority="5" operator="between" aboveAverage="0" equalAverage="0" bottom="0" percent="0" rank="0" text="" dxfId="14">
      <formula>1</formula>
      <formula>4</formula>
    </cfRule>
  </conditionalFormatting>
  <conditionalFormatting sqref="G4:G93">
    <cfRule type="cellIs" priority="6" operator="greaterThanOrEqual" aboveAverage="0" equalAverage="0" bottom="0" percent="0" rank="0" text="" dxfId="11">
      <formula>16</formula>
    </cfRule>
    <cfRule type="cellIs" priority="7" operator="between" aboveAverage="0" equalAverage="0" bottom="0" percent="0" rank="0" text="" dxfId="12">
      <formula>9</formula>
      <formula>15</formula>
    </cfRule>
    <cfRule type="cellIs" priority="8" operator="between" aboveAverage="0" equalAverage="0" bottom="0" percent="0" rank="0" text="" dxfId="13">
      <formula>5</formula>
      <formula>8</formula>
    </cfRule>
    <cfRule type="cellIs" priority="9" operator="between" aboveAverage="0" equalAverage="0" bottom="0" percent="0" rank="0" text="" dxfId="14">
      <formula>1</formula>
      <formula>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2"/>
    <col collapsed="false" customWidth="true" hidden="false" outlineLevel="0" max="3" min="3" style="0" width="20"/>
    <col collapsed="false" customWidth="true" hidden="false" outlineLevel="0" max="4" min="4" style="0" width="26"/>
    <col collapsed="false" customWidth="true" hidden="false" outlineLevel="0" max="5" min="5" style="0" width="20"/>
    <col collapsed="false" customWidth="true" hidden="false" outlineLevel="0" max="6" min="6" style="0" width="8"/>
    <col collapsed="false" customWidth="true" hidden="false" outlineLevel="0" max="7" min="7" style="0" width="60"/>
    <col collapsed="false" customWidth="true" hidden="false" outlineLevel="0" max="8" min="8" style="0" width="14"/>
  </cols>
  <sheetData>
    <row r="1" customFormat="false" ht="15" hidden="false" customHeight="false" outlineLevel="0" collapsed="false">
      <c r="A1" s="23" t="s">
        <v>47</v>
      </c>
      <c r="C1" s="23" t="s">
        <v>103</v>
      </c>
      <c r="D1" s="23" t="s">
        <v>104</v>
      </c>
      <c r="E1" s="23" t="s">
        <v>55</v>
      </c>
      <c r="F1" s="23" t="s">
        <v>105</v>
      </c>
      <c r="G1" s="23" t="s">
        <v>106</v>
      </c>
      <c r="H1" s="23" t="s">
        <v>62</v>
      </c>
    </row>
    <row r="2" customFormat="false" ht="15" hidden="false" customHeight="false" outlineLevel="0" collapsed="false">
      <c r="A2" s="6" t="s">
        <v>107</v>
      </c>
      <c r="C2" s="6" t="s">
        <v>7</v>
      </c>
      <c r="D2" s="6" t="s">
        <v>16</v>
      </c>
      <c r="E2" s="6" t="s">
        <v>21</v>
      </c>
      <c r="F2" s="24" t="n">
        <v>0.1</v>
      </c>
      <c r="G2" s="6" t="s">
        <v>22</v>
      </c>
      <c r="H2" s="6" t="s">
        <v>71</v>
      </c>
    </row>
    <row r="3" customFormat="false" ht="15" hidden="false" customHeight="false" outlineLevel="0" collapsed="false">
      <c r="A3" s="6" t="s">
        <v>73</v>
      </c>
      <c r="C3" s="6" t="s">
        <v>9</v>
      </c>
      <c r="D3" s="6" t="s">
        <v>17</v>
      </c>
      <c r="E3" s="6" t="s">
        <v>23</v>
      </c>
      <c r="F3" s="24" t="n">
        <v>0.5</v>
      </c>
      <c r="G3" s="6" t="s">
        <v>24</v>
      </c>
      <c r="H3" s="6" t="s">
        <v>94</v>
      </c>
    </row>
    <row r="4" customFormat="false" ht="15" hidden="false" customHeight="false" outlineLevel="0" collapsed="false">
      <c r="A4" s="6" t="s">
        <v>64</v>
      </c>
      <c r="C4" s="6" t="s">
        <v>11</v>
      </c>
      <c r="D4" s="6" t="s">
        <v>18</v>
      </c>
      <c r="E4" s="6" t="s">
        <v>25</v>
      </c>
      <c r="F4" s="24" t="n">
        <v>1</v>
      </c>
      <c r="G4" s="6" t="s">
        <v>26</v>
      </c>
      <c r="H4" s="6" t="s">
        <v>108</v>
      </c>
    </row>
    <row r="5" customFormat="false" ht="15" hidden="false" customHeight="false" outlineLevel="0" collapsed="false">
      <c r="A5" s="6" t="s">
        <v>109</v>
      </c>
      <c r="C5" s="6" t="s">
        <v>13</v>
      </c>
      <c r="D5" s="6" t="s">
        <v>19</v>
      </c>
      <c r="E5" s="6" t="s">
        <v>27</v>
      </c>
      <c r="F5" s="24" t="n">
        <v>1.5</v>
      </c>
      <c r="G5" s="6" t="s">
        <v>28</v>
      </c>
      <c r="H5" s="6" t="s">
        <v>110</v>
      </c>
    </row>
    <row r="6" customFormat="false" ht="15" hidden="false" customHeight="false" outlineLevel="0" collapsed="false">
      <c r="A6" s="6" t="s">
        <v>111</v>
      </c>
    </row>
    <row r="7" customFormat="false" ht="15" hidden="false" customHeight="false" outlineLevel="0" collapsed="false">
      <c r="A7" s="6" t="s">
        <v>112</v>
      </c>
    </row>
    <row r="8" customFormat="false" ht="15" hidden="false" customHeight="false" outlineLevel="0" collapsed="false">
      <c r="A8" s="6" t="s">
        <v>113</v>
      </c>
    </row>
    <row r="9" customFormat="false" ht="15" hidden="false" customHeight="false" outlineLevel="0" collapsed="false">
      <c r="A9" s="6" t="s">
        <v>114</v>
      </c>
    </row>
    <row r="10" customFormat="false" ht="15" hidden="false" customHeight="false" outlineLevel="0" collapsed="false">
      <c r="A10" s="6" t="s">
        <v>115</v>
      </c>
    </row>
    <row r="11" customFormat="false" ht="15" hidden="false" customHeight="false" outlineLevel="0" collapsed="false">
      <c r="A11" s="6" t="s">
        <v>116</v>
      </c>
    </row>
    <row r="12" customFormat="false" ht="15" hidden="false" customHeight="false" outlineLevel="0" collapsed="false">
      <c r="A12" s="6" t="s">
        <v>117</v>
      </c>
    </row>
    <row r="13" customFormat="false" ht="15" hidden="false" customHeight="false" outlineLevel="0" collapsed="false">
      <c r="A13" s="6" t="s">
        <v>118</v>
      </c>
    </row>
    <row r="14" customFormat="false" ht="15" hidden="false" customHeight="false" outlineLevel="0" collapsed="false">
      <c r="A14" s="6" t="s">
        <v>119</v>
      </c>
    </row>
    <row r="15" customFormat="false" ht="15" hidden="false" customHeight="false" outlineLevel="0" collapsed="false">
      <c r="A15" s="6" t="s">
        <v>120</v>
      </c>
    </row>
    <row r="16" customFormat="false" ht="15" hidden="false" customHeight="false" outlineLevel="0" collapsed="false">
      <c r="A16" s="6" t="s">
        <v>121</v>
      </c>
    </row>
    <row r="17" customFormat="false" ht="15" hidden="false" customHeight="false" outlineLevel="0" collapsed="false">
      <c r="A17" s="6" t="s">
        <v>88</v>
      </c>
    </row>
    <row r="18" customFormat="false" ht="15" hidden="false" customHeight="false" outlineLevel="0" collapsed="false">
      <c r="A18" s="6" t="s">
        <v>122</v>
      </c>
    </row>
    <row r="19" customFormat="false" ht="15" hidden="false" customHeight="false" outlineLevel="0" collapsed="false">
      <c r="A19" s="6" t="s">
        <v>123</v>
      </c>
    </row>
    <row r="20" customFormat="false" ht="15" hidden="false" customHeight="false" outlineLevel="0" collapsed="false">
      <c r="A20" s="6" t="s">
        <v>124</v>
      </c>
    </row>
    <row r="21" customFormat="false" ht="15" hidden="false" customHeight="false" outlineLevel="0" collapsed="false">
      <c r="A21" s="6" t="s">
        <v>125</v>
      </c>
    </row>
    <row r="22" customFormat="false" ht="15" hidden="false" customHeight="false" outlineLevel="0" collapsed="false">
      <c r="A22" s="6" t="s">
        <v>81</v>
      </c>
    </row>
    <row r="23" customFormat="false" ht="15" hidden="false" customHeight="false" outlineLevel="0" collapsed="false">
      <c r="A23" s="6" t="s">
        <v>126</v>
      </c>
    </row>
    <row r="24" customFormat="false" ht="15" hidden="false" customHeight="false" outlineLevel="0" collapsed="false">
      <c r="A24" s="6" t="s">
        <v>127</v>
      </c>
    </row>
    <row r="25" customFormat="false" ht="15" hidden="false" customHeight="false" outlineLevel="0" collapsed="false">
      <c r="A25" s="6" t="s">
        <v>128</v>
      </c>
    </row>
    <row r="26" customFormat="false" ht="15" hidden="false" customHeight="false" outlineLevel="0" collapsed="false">
      <c r="A26" s="6" t="s">
        <v>129</v>
      </c>
    </row>
    <row r="27" customFormat="false" ht="15" hidden="false" customHeight="false" outlineLevel="0" collapsed="false">
      <c r="A27" s="6" t="s">
        <v>130</v>
      </c>
    </row>
    <row r="28" customFormat="false" ht="15" hidden="false" customHeight="false" outlineLevel="0" collapsed="false">
      <c r="A28" s="6" t="s">
        <v>131</v>
      </c>
    </row>
    <row r="29" customFormat="false" ht="15" hidden="false" customHeight="false" outlineLevel="0" collapsed="false">
      <c r="A29" s="6" t="s">
        <v>132</v>
      </c>
    </row>
    <row r="30" customFormat="false" ht="15" hidden="false" customHeight="false" outlineLevel="0" collapsed="false">
      <c r="A30" s="6" t="s">
        <v>133</v>
      </c>
    </row>
    <row r="31" customFormat="false" ht="15" hidden="false" customHeight="false" outlineLevel="0" collapsed="false">
      <c r="A31" s="6" t="s">
        <v>134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2026-06-30T10:20:07Z</dcterms:created>
  <dc:creator>openpyxl</dc:creator>
  <dc:description/>
  <dc:language>en-US</dc:language>
  <cp:lastModifiedBy/>
  <dcterms:modified xsi:type="dcterms:W3CDTF">2026-06-30T10:20:07Z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